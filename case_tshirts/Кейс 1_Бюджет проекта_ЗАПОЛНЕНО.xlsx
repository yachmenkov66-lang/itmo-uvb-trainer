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ДДС" sheetId="1" state="visible" r:id="rId1"/>
    <sheet name="Параметры" sheetId="2" state="visible" r:id="rId2"/>
    <sheet name="Питч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\ &quot;₽&quot;;[Red]\-#,##0\ &quot;₽&quot;"/>
    <numFmt numFmtId="165" formatCode="#,##0&quot; ₽&quot;"/>
    <numFmt numFmtId="166" formatCode="0.0%"/>
  </numFmts>
  <fonts count="25">
    <font>
      <name val="Merriweather Sans"/>
      <color rgb="FFFFCC99"/>
      <sz val="11"/>
      <scheme val="minor"/>
    </font>
    <font>
      <name val="Merriweather Sans"/>
      <b val="1"/>
      <color rgb="FFFFCC99"/>
      <sz val="11"/>
    </font>
    <font>
      <name val="Merriweather Sans"/>
      <color rgb="FFFFCC99"/>
      <sz val="11"/>
    </font>
    <font>
      <name val="Merriweather Sans"/>
      <b val="1"/>
      <color rgb="FF000000"/>
      <sz val="11"/>
    </font>
    <font>
      <name val="Merriweather Sans"/>
      <b val="1"/>
      <color theme="1"/>
      <sz val="11"/>
    </font>
    <font>
      <name val="Merriweather Sans"/>
      <color rgb="FF000000"/>
      <sz val="11"/>
    </font>
    <font>
      <name val="Merriweather Sans"/>
      <color theme="1"/>
      <sz val="11"/>
    </font>
    <font>
      <name val="Merriweather Sans"/>
      <b val="1"/>
      <color rgb="FF000000"/>
      <sz val="12"/>
    </font>
    <font>
      <name val="Merriweather Sans"/>
      <color theme="1"/>
      <sz val="12"/>
    </font>
    <font>
      <name val="Merriweather Sans"/>
      <b val="1"/>
      <color theme="0"/>
      <sz val="11"/>
    </font>
    <font>
      <name val="Merriweather Sans"/>
      <b val="1"/>
      <color rgb="FF0066CC"/>
      <sz val="11"/>
    </font>
    <font>
      <name val="Merriweather Sans"/>
      <b val="1"/>
      <color rgb="FFDD0806"/>
      <sz val="11"/>
    </font>
    <font>
      <name val="Merriweather Sans"/>
      <color rgb="FFDD0806"/>
      <sz val="11"/>
    </font>
    <font>
      <name val="Merriweather Sans"/>
      <b val="1"/>
      <color rgb="FF000000"/>
      <sz val="14"/>
    </font>
    <font>
      <name val="Merriweather Sans"/>
      <b val="1"/>
      <color theme="1"/>
      <sz val="14"/>
    </font>
    <font>
      <name val="Merriweather Sans"/>
      <color theme="1"/>
      <sz val="14"/>
    </font>
    <font>
      <name val="Merriweather Sans"/>
      <color rgb="FFFF0000"/>
      <sz val="11"/>
    </font>
    <font>
      <i val="1"/>
      <color rgb="00808080"/>
    </font>
    <font>
      <b val="1"/>
      <color rgb="00FFFFFF"/>
    </font>
    <font>
      <i val="1"/>
      <color rgb="00C00000"/>
    </font>
    <font>
      <b val="1"/>
      <color rgb="001F4E79"/>
    </font>
    <font>
      <b val="1"/>
    </font>
    <font>
      <b val="1"/>
      <color rgb="00C00000"/>
      <sz val="12"/>
    </font>
    <font>
      <i val="1"/>
      <color rgb="00808080"/>
      <sz val="9"/>
    </font>
    <font>
      <b val="1"/>
      <color rgb="00FFFFFF"/>
      <sz val="14"/>
    </font>
  </fonts>
  <fills count="18">
    <fill>
      <patternFill/>
    </fill>
    <fill>
      <patternFill patternType="lightGray"/>
    </fill>
    <fill>
      <patternFill patternType="solid">
        <fgColor rgb="FFFFCC99"/>
        <bgColor rgb="FFFFCC99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EEECE1"/>
        <bgColor rgb="FFEEECE1"/>
      </patternFill>
    </fill>
    <fill>
      <patternFill patternType="solid">
        <fgColor rgb="FF008080"/>
        <bgColor rgb="FF008080"/>
      </patternFill>
    </fill>
    <fill>
      <patternFill patternType="solid">
        <fgColor rgb="FFFDE9D9"/>
        <bgColor rgb="FFFDE9D9"/>
      </patternFill>
    </fill>
    <fill>
      <patternFill patternType="solid">
        <fgColor rgb="FFDAEEF3"/>
        <bgColor rgb="FFDAEEF3"/>
      </patternFill>
    </fill>
    <fill>
      <patternFill patternType="solid">
        <fgColor rgb="FFE5DFEC"/>
        <bgColor rgb="FFE5DFEC"/>
      </patternFill>
    </fill>
    <fill>
      <patternFill patternType="solid">
        <fgColor rgb="FFDDD9C3"/>
        <bgColor rgb="FFDDD9C3"/>
      </patternFill>
    </fill>
    <fill>
      <patternFill patternType="solid">
        <fgColor rgb="FFC6D9F0"/>
        <bgColor rgb="FFC6D9F0"/>
      </patternFill>
    </fill>
    <fill>
      <patternFill patternType="solid">
        <fgColor rgb="FFDD0806"/>
        <bgColor rgb="FFDD0806"/>
      </patternFill>
    </fill>
    <fill>
      <patternFill patternType="solid">
        <fgColor rgb="FFD8D8D8"/>
        <bgColor rgb="FFD8D8D8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4">
    <border/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/>
      <top style="thin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2" borderId="2" applyAlignment="1" pivotButton="0" quotePrefix="0" xfId="0">
      <alignment vertical="bottom"/>
    </xf>
    <xf numFmtId="0" fontId="1" fillId="2" borderId="2" applyAlignment="1" pivotButton="0" quotePrefix="0" xfId="0">
      <alignment vertical="bottom"/>
    </xf>
    <xf numFmtId="0" fontId="1" fillId="2" borderId="3" applyAlignment="1" pivotButton="0" quotePrefix="0" xfId="0">
      <alignment vertical="bottom"/>
    </xf>
    <xf numFmtId="0" fontId="1" fillId="2" borderId="4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5" applyAlignment="1" pivotButton="0" quotePrefix="0" xfId="0">
      <alignment vertical="bottom"/>
    </xf>
    <xf numFmtId="0" fontId="1" fillId="0" borderId="6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3" fontId="3" fillId="0" borderId="8" applyAlignment="1" pivotButton="0" quotePrefix="0" xfId="0">
      <alignment vertical="bottom"/>
    </xf>
    <xf numFmtId="0" fontId="3" fillId="3" borderId="9" applyAlignment="1" pivotButton="0" quotePrefix="0" xfId="0">
      <alignment vertical="bottom"/>
    </xf>
    <xf numFmtId="3" fontId="4" fillId="3" borderId="10" applyAlignment="1" pivotButton="0" quotePrefix="0" xfId="0">
      <alignment vertical="bottom"/>
    </xf>
    <xf numFmtId="3" fontId="4" fillId="3" borderId="11" applyAlignment="1" pivotButton="0" quotePrefix="0" xfId="0">
      <alignment vertical="bottom"/>
    </xf>
    <xf numFmtId="3" fontId="3" fillId="3" borderId="12" applyAlignment="1" pivotButton="0" quotePrefix="0" xfId="0">
      <alignment vertical="bottom"/>
    </xf>
    <xf numFmtId="0" fontId="5" fillId="3" borderId="9" applyAlignment="1" pivotButton="0" quotePrefix="0" xfId="0">
      <alignment vertical="bottom"/>
    </xf>
    <xf numFmtId="3" fontId="6" fillId="3" borderId="10" applyAlignment="1" pivotButton="0" quotePrefix="0" xfId="0">
      <alignment vertical="bottom"/>
    </xf>
    <xf numFmtId="3" fontId="6" fillId="3" borderId="13" applyAlignment="1" pivotButton="0" quotePrefix="0" xfId="0">
      <alignment vertical="bottom"/>
    </xf>
    <xf numFmtId="0" fontId="3" fillId="4" borderId="9" applyAlignment="1" pivotButton="0" quotePrefix="0" xfId="0">
      <alignment vertical="bottom"/>
    </xf>
    <xf numFmtId="3" fontId="6" fillId="4" borderId="10" applyAlignment="1" pivotButton="0" quotePrefix="0" xfId="0">
      <alignment vertical="bottom"/>
    </xf>
    <xf numFmtId="3" fontId="4" fillId="4" borderId="10" applyAlignment="1" pivotButton="0" quotePrefix="0" xfId="0">
      <alignment vertical="bottom"/>
    </xf>
    <xf numFmtId="3" fontId="3" fillId="4" borderId="12" applyAlignment="1" pivotButton="0" quotePrefix="0" xfId="0">
      <alignment vertical="bottom"/>
    </xf>
    <xf numFmtId="0" fontId="5" fillId="4" borderId="9" applyAlignment="1" pivotButton="0" quotePrefix="0" xfId="0">
      <alignment vertical="bottom"/>
    </xf>
    <xf numFmtId="3" fontId="6" fillId="4" borderId="10" applyAlignment="1" pivotButton="0" quotePrefix="0" xfId="0">
      <alignment vertical="bottom"/>
    </xf>
    <xf numFmtId="3" fontId="6" fillId="4" borderId="13" applyAlignment="1" pivotButton="0" quotePrefix="0" xfId="0">
      <alignment vertical="bottom"/>
    </xf>
    <xf numFmtId="3" fontId="4" fillId="4" borderId="10" applyAlignment="1" pivotButton="0" quotePrefix="0" xfId="0">
      <alignment vertical="bottom"/>
    </xf>
    <xf numFmtId="0" fontId="3" fillId="0" borderId="9" applyAlignment="1" pivotButton="0" quotePrefix="0" xfId="0">
      <alignment vertical="bottom"/>
    </xf>
    <xf numFmtId="3" fontId="6" fillId="0" borderId="14" applyAlignment="1" pivotButton="0" quotePrefix="0" xfId="0">
      <alignment vertical="bottom"/>
    </xf>
    <xf numFmtId="3" fontId="6" fillId="0" borderId="13" applyAlignment="1" pivotButton="0" quotePrefix="0" xfId="0">
      <alignment vertical="bottom"/>
    </xf>
    <xf numFmtId="3" fontId="6" fillId="0" borderId="15" applyAlignment="1" pivotButton="0" quotePrefix="0" xfId="0">
      <alignment vertical="bottom"/>
    </xf>
    <xf numFmtId="3" fontId="3" fillId="0" borderId="12" applyAlignment="1" pivotButton="0" quotePrefix="0" xfId="0">
      <alignment vertical="bottom"/>
    </xf>
    <xf numFmtId="0" fontId="7" fillId="5" borderId="9" applyAlignment="1" pivotButton="0" quotePrefix="0" xfId="0">
      <alignment vertical="bottom"/>
    </xf>
    <xf numFmtId="3" fontId="8" fillId="5" borderId="10" applyAlignment="1" pivotButton="0" quotePrefix="0" xfId="0">
      <alignment vertical="bottom"/>
    </xf>
    <xf numFmtId="3" fontId="8" fillId="5" borderId="13" applyAlignment="1" pivotButton="0" quotePrefix="0" xfId="0">
      <alignment vertical="bottom"/>
    </xf>
    <xf numFmtId="3" fontId="8" fillId="5" borderId="16" applyAlignment="1" pivotButton="0" quotePrefix="0" xfId="0">
      <alignment vertical="bottom"/>
    </xf>
    <xf numFmtId="3" fontId="7" fillId="5" borderId="12" applyAlignment="1" pivotButton="0" quotePrefix="0" xfId="0">
      <alignment vertical="bottom"/>
    </xf>
    <xf numFmtId="0" fontId="3" fillId="6" borderId="17" applyAlignment="1" pivotButton="0" quotePrefix="0" xfId="0">
      <alignment vertical="bottom"/>
    </xf>
    <xf numFmtId="3" fontId="9" fillId="6" borderId="18" applyAlignment="1" pivotButton="0" quotePrefix="0" xfId="0">
      <alignment vertical="bottom"/>
    </xf>
    <xf numFmtId="3" fontId="9" fillId="6" borderId="19" applyAlignment="1" pivotButton="0" quotePrefix="0" xfId="0">
      <alignment vertical="bottom"/>
    </xf>
    <xf numFmtId="3" fontId="10" fillId="0" borderId="6" applyAlignment="1" pivotButton="0" quotePrefix="0" xfId="0">
      <alignment vertical="bottom"/>
    </xf>
    <xf numFmtId="3" fontId="11" fillId="0" borderId="7" applyAlignment="1" pivotButton="0" quotePrefix="0" xfId="0">
      <alignment vertical="bottom"/>
    </xf>
    <xf numFmtId="0" fontId="5" fillId="7" borderId="9" applyAlignment="1" pivotButton="0" quotePrefix="0" xfId="0">
      <alignment vertical="bottom"/>
    </xf>
    <xf numFmtId="3" fontId="5" fillId="7" borderId="10" applyAlignment="1" pivotButton="0" quotePrefix="0" xfId="0">
      <alignment vertical="bottom"/>
    </xf>
    <xf numFmtId="3" fontId="3" fillId="7" borderId="12" applyAlignment="1" pivotButton="0" quotePrefix="0" xfId="0">
      <alignment vertical="bottom"/>
    </xf>
    <xf numFmtId="0" fontId="3" fillId="7" borderId="9" applyAlignment="1" pivotButton="0" quotePrefix="0" xfId="0">
      <alignment vertical="bottom"/>
    </xf>
    <xf numFmtId="3" fontId="3" fillId="7" borderId="10" applyAlignment="1" pivotButton="0" quotePrefix="0" xfId="0">
      <alignment vertical="bottom"/>
    </xf>
    <xf numFmtId="3" fontId="3" fillId="7" borderId="10" applyAlignment="1" pivotButton="0" quotePrefix="0" xfId="0">
      <alignment vertical="bottom"/>
    </xf>
    <xf numFmtId="0" fontId="5" fillId="8" borderId="9" applyAlignment="1" pivotButton="0" quotePrefix="0" xfId="0">
      <alignment vertical="bottom"/>
    </xf>
    <xf numFmtId="3" fontId="5" fillId="8" borderId="10" applyAlignment="1" pivotButton="0" quotePrefix="0" xfId="0">
      <alignment vertical="bottom"/>
    </xf>
    <xf numFmtId="3" fontId="3" fillId="8" borderId="12" applyAlignment="1" pivotButton="0" quotePrefix="0" xfId="0">
      <alignment vertical="bottom"/>
    </xf>
    <xf numFmtId="0" fontId="3" fillId="8" borderId="9" applyAlignment="1" pivotButton="0" quotePrefix="0" xfId="0">
      <alignment vertical="bottom"/>
    </xf>
    <xf numFmtId="3" fontId="5" fillId="8" borderId="10" applyAlignment="1" pivotButton="0" quotePrefix="0" xfId="0">
      <alignment vertical="bottom"/>
    </xf>
    <xf numFmtId="0" fontId="5" fillId="9" borderId="9" applyAlignment="1" pivotButton="0" quotePrefix="0" xfId="0">
      <alignment vertical="bottom"/>
    </xf>
    <xf numFmtId="3" fontId="5" fillId="9" borderId="10" applyAlignment="1" pivotButton="0" quotePrefix="0" xfId="0">
      <alignment vertical="bottom"/>
    </xf>
    <xf numFmtId="3" fontId="3" fillId="9" borderId="12" applyAlignment="1" pivotButton="0" quotePrefix="0" xfId="0">
      <alignment vertical="bottom"/>
    </xf>
    <xf numFmtId="0" fontId="5" fillId="9" borderId="9" applyAlignment="1" pivotButton="0" quotePrefix="0" xfId="0">
      <alignment vertical="bottom"/>
    </xf>
    <xf numFmtId="0" fontId="3" fillId="9" borderId="9" applyAlignment="1" pivotButton="0" quotePrefix="0" xfId="0">
      <alignment vertical="bottom"/>
    </xf>
    <xf numFmtId="3" fontId="5" fillId="9" borderId="10" applyAlignment="1" pivotButton="0" quotePrefix="0" xfId="0">
      <alignment vertical="bottom"/>
    </xf>
    <xf numFmtId="0" fontId="5" fillId="10" borderId="9" applyAlignment="1" pivotButton="0" quotePrefix="0" xfId="0">
      <alignment vertical="bottom"/>
    </xf>
    <xf numFmtId="3" fontId="5" fillId="10" borderId="10" applyAlignment="1" pivotButton="0" quotePrefix="0" xfId="0">
      <alignment vertical="bottom"/>
    </xf>
    <xf numFmtId="3" fontId="3" fillId="10" borderId="12" applyAlignment="1" pivotButton="0" quotePrefix="0" xfId="0">
      <alignment vertical="bottom"/>
    </xf>
    <xf numFmtId="0" fontId="5" fillId="10" borderId="9" applyAlignment="1" pivotButton="0" quotePrefix="0" xfId="0">
      <alignment vertical="bottom"/>
    </xf>
    <xf numFmtId="0" fontId="3" fillId="10" borderId="9" applyAlignment="1" pivotButton="0" quotePrefix="0" xfId="0">
      <alignment vertical="bottom"/>
    </xf>
    <xf numFmtId="3" fontId="5" fillId="10" borderId="10" applyAlignment="1" pivotButton="0" quotePrefix="0" xfId="0">
      <alignment vertical="bottom"/>
    </xf>
    <xf numFmtId="0" fontId="5" fillId="11" borderId="9" applyAlignment="1" pivotButton="0" quotePrefix="0" xfId="0">
      <alignment vertical="bottom"/>
    </xf>
    <xf numFmtId="3" fontId="5" fillId="11" borderId="10" applyAlignment="1" pivotButton="0" quotePrefix="0" xfId="0">
      <alignment vertical="bottom"/>
    </xf>
    <xf numFmtId="3" fontId="3" fillId="11" borderId="12" applyAlignment="1" pivotButton="0" quotePrefix="0" xfId="0">
      <alignment vertical="bottom"/>
    </xf>
    <xf numFmtId="0" fontId="5" fillId="11" borderId="9" applyAlignment="1" pivotButton="0" quotePrefix="0" xfId="0">
      <alignment vertical="bottom"/>
    </xf>
    <xf numFmtId="0" fontId="3" fillId="11" borderId="9" applyAlignment="1" pivotButton="0" quotePrefix="0" xfId="0">
      <alignment vertical="bottom"/>
    </xf>
    <xf numFmtId="3" fontId="5" fillId="11" borderId="10" applyAlignment="1" pivotButton="0" quotePrefix="0" xfId="0">
      <alignment vertical="bottom"/>
    </xf>
    <xf numFmtId="0" fontId="5" fillId="2" borderId="9" applyAlignment="1" pivotButton="0" quotePrefix="0" xfId="0">
      <alignment vertical="bottom"/>
    </xf>
    <xf numFmtId="3" fontId="5" fillId="2" borderId="10" applyAlignment="1" pivotButton="0" quotePrefix="0" xfId="0">
      <alignment vertical="bottom"/>
    </xf>
    <xf numFmtId="3" fontId="3" fillId="2" borderId="12" applyAlignment="1" pivotButton="0" quotePrefix="0" xfId="0">
      <alignment vertical="bottom"/>
    </xf>
    <xf numFmtId="0" fontId="3" fillId="2" borderId="9" applyAlignment="1" pivotButton="0" quotePrefix="0" xfId="0">
      <alignment vertical="bottom"/>
    </xf>
    <xf numFmtId="0" fontId="3" fillId="5" borderId="20" applyAlignment="1" pivotButton="0" quotePrefix="0" xfId="0">
      <alignment vertical="bottom"/>
    </xf>
    <xf numFmtId="3" fontId="5" fillId="5" borderId="2" applyAlignment="1" pivotButton="0" quotePrefix="0" xfId="0">
      <alignment vertical="bottom"/>
    </xf>
    <xf numFmtId="3" fontId="5" fillId="5" borderId="2" applyAlignment="1" pivotButton="0" quotePrefix="0" xfId="0">
      <alignment vertical="bottom"/>
    </xf>
    <xf numFmtId="3" fontId="3" fillId="5" borderId="12" applyAlignment="1" pivotButton="0" quotePrefix="0" xfId="0">
      <alignment vertical="bottom"/>
    </xf>
    <xf numFmtId="3" fontId="11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3" fillId="12" borderId="17" applyAlignment="1" pivotButton="0" quotePrefix="0" xfId="0">
      <alignment vertical="bottom"/>
    </xf>
    <xf numFmtId="3" fontId="9" fillId="12" borderId="18" applyAlignment="1" pivotButton="0" quotePrefix="0" xfId="0">
      <alignment vertical="bottom"/>
    </xf>
    <xf numFmtId="3" fontId="9" fillId="12" borderId="12" applyAlignment="1" pivotButton="0" quotePrefix="0" xfId="0">
      <alignment vertical="bottom"/>
    </xf>
    <xf numFmtId="0" fontId="13" fillId="13" borderId="21" applyAlignment="1" pivotButton="0" quotePrefix="0" xfId="0">
      <alignment vertical="bottom"/>
    </xf>
    <xf numFmtId="164" fontId="14" fillId="13" borderId="22" applyAlignment="1" pivotButton="0" quotePrefix="0" xfId="0">
      <alignment vertical="bottom"/>
    </xf>
    <xf numFmtId="164" fontId="14" fillId="13" borderId="8" applyAlignment="1" pivotButton="0" quotePrefix="0" xfId="0">
      <alignment vertical="bottom"/>
    </xf>
    <xf numFmtId="0" fontId="13" fillId="13" borderId="13" applyAlignment="1" pivotButton="0" quotePrefix="0" xfId="0">
      <alignment vertical="bottom"/>
    </xf>
    <xf numFmtId="164" fontId="14" fillId="13" borderId="10" applyAlignment="1" pivotButton="0" quotePrefix="0" xfId="0">
      <alignment vertical="bottom"/>
    </xf>
    <xf numFmtId="164" fontId="14" fillId="13" borderId="13" applyAlignment="1" pivotButton="0" quotePrefix="0" xfId="0">
      <alignment vertical="bottom"/>
    </xf>
    <xf numFmtId="164" fontId="15" fillId="13" borderId="19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16" fillId="0" borderId="0" applyAlignment="1" pivotButton="0" quotePrefix="0" xfId="0">
      <alignment vertical="bottom"/>
    </xf>
    <xf numFmtId="0" fontId="0" fillId="0" borderId="0" pivotButton="0" quotePrefix="0" xfId="0"/>
    <xf numFmtId="165" fontId="4" fillId="3" borderId="10" applyAlignment="1" pivotButton="0" quotePrefix="0" xfId="0">
      <alignment vertical="bottom"/>
    </xf>
    <xf numFmtId="165" fontId="4" fillId="3" borderId="11" applyAlignment="1" pivotButton="0" quotePrefix="0" xfId="0">
      <alignment vertical="bottom"/>
    </xf>
    <xf numFmtId="165" fontId="3" fillId="3" borderId="12" applyAlignment="1" pivotButton="0" quotePrefix="0" xfId="0">
      <alignment vertical="bottom"/>
    </xf>
    <xf numFmtId="165" fontId="6" fillId="3" borderId="10" applyAlignment="1" pivotButton="0" quotePrefix="0" xfId="0">
      <alignment vertical="bottom"/>
    </xf>
    <xf numFmtId="165" fontId="6" fillId="4" borderId="10" applyAlignment="1" pivotButton="0" quotePrefix="0" xfId="0">
      <alignment vertical="bottom"/>
    </xf>
    <xf numFmtId="165" fontId="4" fillId="4" borderId="10" applyAlignment="1" pivotButton="0" quotePrefix="0" xfId="0">
      <alignment vertical="bottom"/>
    </xf>
    <xf numFmtId="165" fontId="3" fillId="4" borderId="12" applyAlignment="1" pivotButton="0" quotePrefix="0" xfId="0">
      <alignment vertical="bottom"/>
    </xf>
    <xf numFmtId="165" fontId="6" fillId="4" borderId="13" applyAlignment="1" pivotButton="0" quotePrefix="0" xfId="0">
      <alignment vertical="bottom"/>
    </xf>
    <xf numFmtId="165" fontId="6" fillId="0" borderId="14" applyAlignment="1" pivotButton="0" quotePrefix="0" xfId="0">
      <alignment vertical="bottom"/>
    </xf>
    <xf numFmtId="165" fontId="6" fillId="0" borderId="13" applyAlignment="1" pivotButton="0" quotePrefix="0" xfId="0">
      <alignment vertical="bottom"/>
    </xf>
    <xf numFmtId="165" fontId="6" fillId="0" borderId="15" applyAlignment="1" pivotButton="0" quotePrefix="0" xfId="0">
      <alignment vertical="bottom"/>
    </xf>
    <xf numFmtId="165" fontId="3" fillId="0" borderId="12" applyAlignment="1" pivotButton="0" quotePrefix="0" xfId="0">
      <alignment vertical="bottom"/>
    </xf>
    <xf numFmtId="165" fontId="8" fillId="5" borderId="10" applyAlignment="1" pivotButton="0" quotePrefix="0" xfId="0">
      <alignment vertical="bottom"/>
    </xf>
    <xf numFmtId="165" fontId="8" fillId="5" borderId="13" applyAlignment="1" pivotButton="0" quotePrefix="0" xfId="0">
      <alignment vertical="bottom"/>
    </xf>
    <xf numFmtId="165" fontId="8" fillId="5" borderId="16" applyAlignment="1" pivotButton="0" quotePrefix="0" xfId="0">
      <alignment vertical="bottom"/>
    </xf>
    <xf numFmtId="165" fontId="7" fillId="5" borderId="12" applyAlignment="1" pivotButton="0" quotePrefix="0" xfId="0">
      <alignment vertical="bottom"/>
    </xf>
    <xf numFmtId="165" fontId="5" fillId="7" borderId="10" applyAlignment="1" pivotButton="0" quotePrefix="0" xfId="0">
      <alignment vertical="bottom"/>
    </xf>
    <xf numFmtId="165" fontId="3" fillId="7" borderId="12" applyAlignment="1" pivotButton="0" quotePrefix="0" xfId="0">
      <alignment vertical="bottom"/>
    </xf>
    <xf numFmtId="165" fontId="5" fillId="8" borderId="10" applyAlignment="1" pivotButton="0" quotePrefix="0" xfId="0">
      <alignment vertical="bottom"/>
    </xf>
    <xf numFmtId="165" fontId="3" fillId="8" borderId="12" applyAlignment="1" pivotButton="0" quotePrefix="0" xfId="0">
      <alignment vertical="bottom"/>
    </xf>
    <xf numFmtId="165" fontId="5" fillId="9" borderId="10" applyAlignment="1" pivotButton="0" quotePrefix="0" xfId="0">
      <alignment vertical="bottom"/>
    </xf>
    <xf numFmtId="165" fontId="3" fillId="9" borderId="12" applyAlignment="1" pivotButton="0" quotePrefix="0" xfId="0">
      <alignment vertical="bottom"/>
    </xf>
    <xf numFmtId="165" fontId="5" fillId="10" borderId="10" applyAlignment="1" pivotButton="0" quotePrefix="0" xfId="0">
      <alignment vertical="bottom"/>
    </xf>
    <xf numFmtId="165" fontId="3" fillId="10" borderId="12" applyAlignment="1" pivotButton="0" quotePrefix="0" xfId="0">
      <alignment vertical="bottom"/>
    </xf>
    <xf numFmtId="165" fontId="5" fillId="11" borderId="10" applyAlignment="1" pivotButton="0" quotePrefix="0" xfId="0">
      <alignment vertical="bottom"/>
    </xf>
    <xf numFmtId="165" fontId="3" fillId="11" borderId="12" applyAlignment="1" pivotButton="0" quotePrefix="0" xfId="0">
      <alignment vertical="bottom"/>
    </xf>
    <xf numFmtId="165" fontId="5" fillId="2" borderId="10" applyAlignment="1" pivotButton="0" quotePrefix="0" xfId="0">
      <alignment vertical="bottom"/>
    </xf>
    <xf numFmtId="165" fontId="3" fillId="2" borderId="12" applyAlignment="1" pivotButton="0" quotePrefix="0" xfId="0">
      <alignment vertical="bottom"/>
    </xf>
    <xf numFmtId="165" fontId="5" fillId="5" borderId="2" applyAlignment="1" pivotButton="0" quotePrefix="0" xfId="0">
      <alignment vertical="bottom"/>
    </xf>
    <xf numFmtId="165" fontId="3" fillId="5" borderId="12" applyAlignment="1" pivotButton="0" quotePrefix="0" xfId="0">
      <alignment vertical="bottom"/>
    </xf>
    <xf numFmtId="165" fontId="16" fillId="0" borderId="0" applyAlignment="1" pivotButton="0" quotePrefix="0" xfId="0">
      <alignment vertical="bottom"/>
    </xf>
    <xf numFmtId="0" fontId="23" fillId="0" borderId="0" applyAlignment="1" pivotButton="0" quotePrefix="0" xfId="0">
      <alignment vertical="bottom"/>
    </xf>
    <xf numFmtId="1" fontId="23" fillId="0" borderId="0" applyAlignment="1" pivotButton="0" quotePrefix="0" xfId="0">
      <alignment vertical="bottom"/>
    </xf>
    <xf numFmtId="165" fontId="23" fillId="0" borderId="0" applyAlignment="1" pivotButton="0" quotePrefix="0" xfId="0">
      <alignment vertical="bottom"/>
    </xf>
    <xf numFmtId="166" fontId="23" fillId="0" borderId="0" applyAlignment="1" pivotButton="0" quotePrefix="0" xfId="0">
      <alignment vertical="bottom"/>
    </xf>
    <xf numFmtId="0" fontId="20" fillId="15" borderId="0" applyAlignment="1" pivotButton="0" quotePrefix="0" xfId="0">
      <alignment vertical="bottom"/>
    </xf>
    <xf numFmtId="165" fontId="21" fillId="17" borderId="0" applyAlignment="1" pivotButton="0" quotePrefix="0" xfId="0">
      <alignment vertical="bottom"/>
    </xf>
    <xf numFmtId="1" fontId="21" fillId="17" borderId="0" applyAlignment="1" pivotButton="0" quotePrefix="0" xfId="0">
      <alignment vertical="bottom"/>
    </xf>
    <xf numFmtId="166" fontId="21" fillId="17" borderId="0" applyAlignment="1" pivotButton="0" quotePrefix="0" xfId="0">
      <alignment vertical="bottom"/>
    </xf>
    <xf numFmtId="0" fontId="21" fillId="17" borderId="0" applyAlignment="1" pivotButton="0" quotePrefix="0" xfId="0">
      <alignment vertical="bottom"/>
    </xf>
    <xf numFmtId="0" fontId="18" fillId="14" borderId="0" pivotButton="0" quotePrefix="0" xfId="0"/>
    <xf numFmtId="0" fontId="19" fillId="0" borderId="0" pivotButton="0" quotePrefix="0" xfId="0"/>
    <xf numFmtId="0" fontId="20" fillId="15" borderId="0" pivotButton="0" quotePrefix="0" xfId="0"/>
    <xf numFmtId="165" fontId="0" fillId="16" borderId="23" applyAlignment="1" pivotButton="0" quotePrefix="0" xfId="0">
      <alignment horizontal="right"/>
    </xf>
    <xf numFmtId="0" fontId="17" fillId="0" borderId="0" pivotButton="0" quotePrefix="0" xfId="0"/>
    <xf numFmtId="166" fontId="0" fillId="16" borderId="23" applyAlignment="1" pivotButton="0" quotePrefix="0" xfId="0">
      <alignment horizontal="right"/>
    </xf>
    <xf numFmtId="0" fontId="20" fillId="15" borderId="23" pivotButton="0" quotePrefix="0" xfId="0"/>
    <xf numFmtId="1" fontId="22" fillId="16" borderId="23" applyAlignment="1" pivotButton="0" quotePrefix="0" xfId="0">
      <alignment horizontal="center"/>
    </xf>
    <xf numFmtId="0" fontId="20" fillId="15" borderId="23" applyAlignment="1" pivotButton="0" quotePrefix="0" xfId="0">
      <alignment horizontal="center"/>
    </xf>
    <xf numFmtId="3" fontId="21" fillId="17" borderId="23" pivotButton="0" quotePrefix="0" xfId="0"/>
    <xf numFmtId="3" fontId="0" fillId="16" borderId="23" applyAlignment="1" pivotButton="0" quotePrefix="0" xfId="0">
      <alignment horizontal="right"/>
    </xf>
    <xf numFmtId="166" fontId="21" fillId="17" borderId="23" pivotButton="0" quotePrefix="0" xfId="0"/>
    <xf numFmtId="1" fontId="0" fillId="16" borderId="23" applyAlignment="1" pivotButton="0" quotePrefix="0" xfId="0">
      <alignment horizontal="right"/>
    </xf>
    <xf numFmtId="2" fontId="0" fillId="16" borderId="23" applyAlignment="1" pivotButton="0" quotePrefix="0" xfId="0">
      <alignment horizontal="right"/>
    </xf>
    <xf numFmtId="165" fontId="21" fillId="17" borderId="23" applyAlignment="1" pivotButton="0" quotePrefix="0" xfId="0">
      <alignment horizontal="right"/>
    </xf>
    <xf numFmtId="166" fontId="21" fillId="17" borderId="23" applyAlignment="1" pivotButton="0" quotePrefix="0" xfId="0">
      <alignment horizontal="right"/>
    </xf>
    <xf numFmtId="0" fontId="24" fillId="14" borderId="0" pivotButton="0" quotePrefix="0" xfId="0"/>
    <xf numFmtId="0" fontId="21" fillId="0" borderId="0" pivotButton="0" quotePrefix="0" xfId="0"/>
    <xf numFmtId="0" fontId="0" fillId="0" borderId="0" applyAlignment="1" pivotButton="0" quotePrefix="0" xfId="0">
      <alignment vertical="top" wrapText="1"/>
    </xf>
    <xf numFmtId="165" fontId="20" fillId="0" borderId="0" pivotButton="0" quotePrefix="0" xfId="0"/>
    <xf numFmtId="166" fontId="20" fillId="0" borderId="0" pivotButton="0" quotePrefix="0" xfId="0"/>
    <xf numFmtId="1" fontId="2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Merriweather Sans"/>
        <a:ea typeface="Merriweather Sans"/>
        <a:cs typeface="Merriweather Sans"/>
      </a:majorFont>
      <a:minorFont>
        <a:latin typeface="Merriweather Sans"/>
        <a:ea typeface="Merriweather Sans"/>
        <a:cs typeface="Merriweather Sans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99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1" sqref="B1"/>
      <selection pane="bottomLeft" activeCell="A2" sqref="A2"/>
      <selection pane="bottomRight" activeCell="B2" sqref="B2"/>
    </sheetView>
  </sheetViews>
  <sheetFormatPr baseColWidth="8" defaultColWidth="12.63" defaultRowHeight="15" customHeight="1"/>
  <cols>
    <col width="46" customWidth="1" style="92" min="1" max="1"/>
    <col width="13.88" customWidth="1" style="92" min="2" max="26"/>
    <col width="16" customWidth="1" style="92" min="27" max="28"/>
  </cols>
  <sheetData>
    <row r="1" ht="15" customHeight="1" s="92">
      <c r="A1" s="1" t="inlineStr">
        <is>
          <t>месяц</t>
        </is>
      </c>
      <c r="B1" s="3" t="n">
        <v>2025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  <c r="N1" s="3" t="n">
        <v>13</v>
      </c>
      <c r="O1" s="3" t="n">
        <v>14</v>
      </c>
      <c r="P1" s="3" t="n">
        <v>15</v>
      </c>
      <c r="Q1" s="3" t="n">
        <v>16</v>
      </c>
      <c r="R1" s="3" t="n">
        <v>17</v>
      </c>
      <c r="S1" s="3" t="n">
        <v>18</v>
      </c>
      <c r="T1" s="3" t="n">
        <v>19</v>
      </c>
      <c r="U1" s="3" t="n">
        <v>20</v>
      </c>
      <c r="V1" s="3" t="n">
        <v>21</v>
      </c>
      <c r="W1" s="3" t="n">
        <v>22</v>
      </c>
      <c r="X1" s="3" t="n">
        <v>23</v>
      </c>
      <c r="Y1" s="4" t="n">
        <v>24</v>
      </c>
      <c r="Z1" s="5" t="n"/>
      <c r="AA1" s="6" t="n"/>
      <c r="AB1" s="6" t="n"/>
    </row>
    <row r="2" ht="15" customHeight="1" s="92">
      <c r="A2" s="7" t="inlineStr">
        <is>
          <t>ПРИХОД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9" t="n"/>
      <c r="Z2" s="10">
        <f>SUM(Z3:Z10)</f>
        <v/>
      </c>
      <c r="AA2" s="6" t="n"/>
      <c r="AB2" s="6" t="n"/>
    </row>
    <row r="3" ht="15" customHeight="1" s="92">
      <c r="A3" s="11" t="inlineStr">
        <is>
          <t>Продажа товара 1 — футболка «Базовая»</t>
        </is>
      </c>
      <c r="B3" s="93">
        <f>B4*B5</f>
        <v/>
      </c>
      <c r="C3" s="93">
        <f>C4*C5</f>
        <v/>
      </c>
      <c r="D3" s="93">
        <f>D4*D5</f>
        <v/>
      </c>
      <c r="E3" s="93">
        <f>E4*E5</f>
        <v/>
      </c>
      <c r="F3" s="93">
        <f>F4*F5</f>
        <v/>
      </c>
      <c r="G3" s="93">
        <f>G4*G5</f>
        <v/>
      </c>
      <c r="H3" s="93">
        <f>H4*H5</f>
        <v/>
      </c>
      <c r="I3" s="93">
        <f>I4*I5</f>
        <v/>
      </c>
      <c r="J3" s="93">
        <f>J4*J5</f>
        <v/>
      </c>
      <c r="K3" s="93">
        <f>K4*K5</f>
        <v/>
      </c>
      <c r="L3" s="93">
        <f>L4*L5</f>
        <v/>
      </c>
      <c r="M3" s="93">
        <f>M4*M5</f>
        <v/>
      </c>
      <c r="N3" s="93">
        <f>N4*N5</f>
        <v/>
      </c>
      <c r="O3" s="93">
        <f>O4*O5</f>
        <v/>
      </c>
      <c r="P3" s="93">
        <f>P4*P5</f>
        <v/>
      </c>
      <c r="Q3" s="93">
        <f>Q4*Q5</f>
        <v/>
      </c>
      <c r="R3" s="93">
        <f>R4*R5</f>
        <v/>
      </c>
      <c r="S3" s="93">
        <f>S4*S5</f>
        <v/>
      </c>
      <c r="T3" s="93">
        <f>T4*T5</f>
        <v/>
      </c>
      <c r="U3" s="93">
        <f>U4*U5</f>
        <v/>
      </c>
      <c r="V3" s="93">
        <f>V4*V5</f>
        <v/>
      </c>
      <c r="W3" s="93">
        <f>W4*W5</f>
        <v/>
      </c>
      <c r="X3" s="93">
        <f>X4*X5</f>
        <v/>
      </c>
      <c r="Y3" s="94">
        <f>Y4*Y5</f>
        <v/>
      </c>
      <c r="Z3" s="95">
        <f>SUM(B3:Y3)</f>
        <v/>
      </c>
      <c r="AA3" s="6" t="n"/>
      <c r="AB3" s="6" t="n"/>
    </row>
    <row r="4" ht="15" customHeight="1" s="92">
      <c r="A4" s="15" t="inlineStr">
        <is>
          <t>Количество продаж</t>
        </is>
      </c>
      <c r="B4" s="16">
        <f>Параметры!$B$12</f>
        <v/>
      </c>
      <c r="C4" s="17">
        <f>ROUND(B4*(1+IF(C$48&lt;=12,Параметры!$B$13,Параметры!$B$14)),0)</f>
        <v/>
      </c>
      <c r="D4" s="17">
        <f>ROUND(C4*(1+IF(D$48&lt;=12,Параметры!$B$13,Параметры!$B$14)),0)</f>
        <v/>
      </c>
      <c r="E4" s="17">
        <f>ROUND(D4*(1+IF(E$48&lt;=12,Параметры!$B$13,Параметры!$B$14)),0)</f>
        <v/>
      </c>
      <c r="F4" s="17">
        <f>ROUND(E4*(1+IF(F$48&lt;=12,Параметры!$B$13,Параметры!$B$14)),0)</f>
        <v/>
      </c>
      <c r="G4" s="17">
        <f>ROUND(F4*(1+IF(G$48&lt;=12,Параметры!$B$13,Параметры!$B$14)),0)</f>
        <v/>
      </c>
      <c r="H4" s="17">
        <f>ROUND(G4*(1+IF(H$48&lt;=12,Параметры!$B$13,Параметры!$B$14)),0)</f>
        <v/>
      </c>
      <c r="I4" s="17">
        <f>ROUND(H4*(1+IF(I$48&lt;=12,Параметры!$B$13,Параметры!$B$14)),0)</f>
        <v/>
      </c>
      <c r="J4" s="17">
        <f>ROUND(I4*(1+IF(J$48&lt;=12,Параметры!$B$13,Параметры!$B$14)),0)</f>
        <v/>
      </c>
      <c r="K4" s="17">
        <f>ROUND(J4*(1+IF(K$48&lt;=12,Параметры!$B$13,Параметры!$B$14)),0)</f>
        <v/>
      </c>
      <c r="L4" s="17">
        <f>ROUND(K4*(1+IF(L$48&lt;=12,Параметры!$B$13,Параметры!$B$14)),0)</f>
        <v/>
      </c>
      <c r="M4" s="17">
        <f>ROUND(L4*(1+IF(M$48&lt;=12,Параметры!$B$13,Параметры!$B$14)),0)</f>
        <v/>
      </c>
      <c r="N4" s="17">
        <f>ROUND(M4*(1+IF(N$48&lt;=12,Параметры!$B$13,Параметры!$B$14)),0)</f>
        <v/>
      </c>
      <c r="O4" s="17">
        <f>ROUND(N4*(1+IF(O$48&lt;=12,Параметры!$B$13,Параметры!$B$14)),0)</f>
        <v/>
      </c>
      <c r="P4" s="17">
        <f>ROUND(O4*(1+IF(P$48&lt;=12,Параметры!$B$13,Параметры!$B$14)),0)</f>
        <v/>
      </c>
      <c r="Q4" s="17">
        <f>ROUND(P4*(1+IF(Q$48&lt;=12,Параметры!$B$13,Параметры!$B$14)),0)</f>
        <v/>
      </c>
      <c r="R4" s="17">
        <f>ROUND(Q4*(1+IF(R$48&lt;=12,Параметры!$B$13,Параметры!$B$14)),0)</f>
        <v/>
      </c>
      <c r="S4" s="17">
        <f>ROUND(R4*(1+IF(S$48&lt;=12,Параметры!$B$13,Параметры!$B$14)),0)</f>
        <v/>
      </c>
      <c r="T4" s="17">
        <f>ROUND(S4*(1+IF(T$48&lt;=12,Параметры!$B$13,Параметры!$B$14)),0)</f>
        <v/>
      </c>
      <c r="U4" s="17">
        <f>ROUND(T4*(1+IF(U$48&lt;=12,Параметры!$B$13,Параметры!$B$14)),0)</f>
        <v/>
      </c>
      <c r="V4" s="17">
        <f>ROUND(U4*(1+IF(V$48&lt;=12,Параметры!$B$13,Параметры!$B$14)),0)</f>
        <v/>
      </c>
      <c r="W4" s="17">
        <f>ROUND(V4*(1+IF(W$48&lt;=12,Параметры!$B$13,Параметры!$B$14)),0)</f>
        <v/>
      </c>
      <c r="X4" s="17">
        <f>ROUND(W4*(1+IF(X$48&lt;=12,Параметры!$B$13,Параметры!$B$14)),0)</f>
        <v/>
      </c>
      <c r="Y4" s="17">
        <f>ROUND(X4*(1+IF(Y$48&lt;=12,Параметры!$B$13,Параметры!$B$14)),0)</f>
        <v/>
      </c>
      <c r="Z4" s="14" t="n"/>
      <c r="AA4" s="6" t="n"/>
      <c r="AB4" s="6" t="n"/>
    </row>
    <row r="5" ht="15" customHeight="1" s="92">
      <c r="A5" s="15" t="inlineStr">
        <is>
          <t>Cредний чек</t>
        </is>
      </c>
      <c r="B5" s="96">
        <f>Параметры!$B$4</f>
        <v/>
      </c>
      <c r="C5" s="96">
        <f>Параметры!$B$4</f>
        <v/>
      </c>
      <c r="D5" s="96">
        <f>Параметры!$B$4</f>
        <v/>
      </c>
      <c r="E5" s="96">
        <f>Параметры!$B$4</f>
        <v/>
      </c>
      <c r="F5" s="96">
        <f>Параметры!$B$4</f>
        <v/>
      </c>
      <c r="G5" s="96">
        <f>Параметры!$B$4</f>
        <v/>
      </c>
      <c r="H5" s="96">
        <f>Параметры!$B$4</f>
        <v/>
      </c>
      <c r="I5" s="96">
        <f>Параметры!$B$4</f>
        <v/>
      </c>
      <c r="J5" s="96">
        <f>Параметры!$B$4</f>
        <v/>
      </c>
      <c r="K5" s="96">
        <f>Параметры!$B$4</f>
        <v/>
      </c>
      <c r="L5" s="96">
        <f>Параметры!$B$4</f>
        <v/>
      </c>
      <c r="M5" s="96">
        <f>Параметры!$B$4</f>
        <v/>
      </c>
      <c r="N5" s="96">
        <f>Параметры!$B$4</f>
        <v/>
      </c>
      <c r="O5" s="96">
        <f>Параметры!$B$4</f>
        <v/>
      </c>
      <c r="P5" s="96">
        <f>Параметры!$B$4</f>
        <v/>
      </c>
      <c r="Q5" s="96">
        <f>Параметры!$B$4</f>
        <v/>
      </c>
      <c r="R5" s="96">
        <f>Параметры!$B$4</f>
        <v/>
      </c>
      <c r="S5" s="96">
        <f>Параметры!$B$4</f>
        <v/>
      </c>
      <c r="T5" s="96">
        <f>Параметры!$B$4</f>
        <v/>
      </c>
      <c r="U5" s="96">
        <f>Параметры!$B$4</f>
        <v/>
      </c>
      <c r="V5" s="96">
        <f>Параметры!$B$4</f>
        <v/>
      </c>
      <c r="W5" s="96">
        <f>Параметры!$B$4</f>
        <v/>
      </c>
      <c r="X5" s="96">
        <f>Параметры!$B$4</f>
        <v/>
      </c>
      <c r="Y5" s="96">
        <f>Параметры!$B$4</f>
        <v/>
      </c>
      <c r="Z5" s="14" t="n"/>
      <c r="AA5" s="6" t="n"/>
      <c r="AB5" s="6" t="n"/>
    </row>
    <row r="6" ht="15" customHeight="1" s="92">
      <c r="A6" s="18" t="inlineStr">
        <is>
          <t>Продажа товара 2 — футболка «Pro» / кастом-принт</t>
        </is>
      </c>
      <c r="B6" s="97">
        <f>B7*B8</f>
        <v/>
      </c>
      <c r="C6" s="98">
        <f>C7*C8</f>
        <v/>
      </c>
      <c r="D6" s="98">
        <f>D7*D8</f>
        <v/>
      </c>
      <c r="E6" s="98">
        <f>E7*E8</f>
        <v/>
      </c>
      <c r="F6" s="98">
        <f>F7*F8</f>
        <v/>
      </c>
      <c r="G6" s="98">
        <f>G7*G8</f>
        <v/>
      </c>
      <c r="H6" s="98">
        <f>H7*H8</f>
        <v/>
      </c>
      <c r="I6" s="98">
        <f>I7*I8</f>
        <v/>
      </c>
      <c r="J6" s="98">
        <f>J7*J8</f>
        <v/>
      </c>
      <c r="K6" s="98">
        <f>K7*K8</f>
        <v/>
      </c>
      <c r="L6" s="98">
        <f>L7*L8</f>
        <v/>
      </c>
      <c r="M6" s="98">
        <f>M7*M8</f>
        <v/>
      </c>
      <c r="N6" s="98">
        <f>N7*N8</f>
        <v/>
      </c>
      <c r="O6" s="98">
        <f>O7*O8</f>
        <v/>
      </c>
      <c r="P6" s="98">
        <f>P7*P8</f>
        <v/>
      </c>
      <c r="Q6" s="98">
        <f>Q7*Q8</f>
        <v/>
      </c>
      <c r="R6" s="98">
        <f>R7*R8</f>
        <v/>
      </c>
      <c r="S6" s="98">
        <f>S7*S8</f>
        <v/>
      </c>
      <c r="T6" s="98">
        <f>T7*T8</f>
        <v/>
      </c>
      <c r="U6" s="98">
        <f>U7*U8</f>
        <v/>
      </c>
      <c r="V6" s="98">
        <f>V7*V8</f>
        <v/>
      </c>
      <c r="W6" s="98">
        <f>W7*W8</f>
        <v/>
      </c>
      <c r="X6" s="98">
        <f>X7*X8</f>
        <v/>
      </c>
      <c r="Y6" s="98">
        <f>Y7*Y8</f>
        <v/>
      </c>
      <c r="Z6" s="99">
        <f>SUM(B6:Y6)</f>
        <v/>
      </c>
      <c r="AA6" s="6" t="n"/>
      <c r="AB6" s="6" t="n"/>
    </row>
    <row r="7" ht="15" customHeight="1" s="92">
      <c r="A7" s="22" t="inlineStr">
        <is>
          <t>Количество продаж</t>
        </is>
      </c>
      <c r="B7" s="23">
        <f>IF(B$48&lt;Параметры!$B$15,0,Параметры!$B$16)</f>
        <v/>
      </c>
      <c r="C7" s="24">
        <f>IF(C$48&lt;Параметры!$B$15,0,IF(B7=0,Параметры!$B$16,ROUND(B7*(1+IF(C$48&lt;=12,Параметры!$B$17,Параметры!$B$18)),0)))</f>
        <v/>
      </c>
      <c r="D7" s="24">
        <f>IF(D$48&lt;Параметры!$B$15,0,IF(C7=0,Параметры!$B$16,ROUND(C7*(1+IF(D$48&lt;=12,Параметры!$B$17,Параметры!$B$18)),0)))</f>
        <v/>
      </c>
      <c r="E7" s="25">
        <f>IF(E$48&lt;Параметры!$B$15,0,IF(D7=0,Параметры!$B$16,ROUND(D7*(1+IF(E$48&lt;=12,Параметры!$B$17,Параметры!$B$18)),0)))</f>
        <v/>
      </c>
      <c r="F7" s="25">
        <f>IF(F$48&lt;Параметры!$B$15,0,IF(E7=0,Параметры!$B$16,ROUND(E7*(1+IF(F$48&lt;=12,Параметры!$B$17,Параметры!$B$18)),0)))</f>
        <v/>
      </c>
      <c r="G7" s="25">
        <f>IF(G$48&lt;Параметры!$B$15,0,IF(F7=0,Параметры!$B$16,ROUND(F7*(1+IF(G$48&lt;=12,Параметры!$B$17,Параметры!$B$18)),0)))</f>
        <v/>
      </c>
      <c r="H7" s="25">
        <f>IF(H$48&lt;Параметры!$B$15,0,IF(G7=0,Параметры!$B$16,ROUND(G7*(1+IF(H$48&lt;=12,Параметры!$B$17,Параметры!$B$18)),0)))</f>
        <v/>
      </c>
      <c r="I7" s="25">
        <f>IF(I$48&lt;Параметры!$B$15,0,IF(H7=0,Параметры!$B$16,ROUND(H7*(1+IF(I$48&lt;=12,Параметры!$B$17,Параметры!$B$18)),0)))</f>
        <v/>
      </c>
      <c r="J7" s="25">
        <f>IF(J$48&lt;Параметры!$B$15,0,IF(I7=0,Параметры!$B$16,ROUND(I7*(1+IF(J$48&lt;=12,Параметры!$B$17,Параметры!$B$18)),0)))</f>
        <v/>
      </c>
      <c r="K7" s="25">
        <f>IF(K$48&lt;Параметры!$B$15,0,IF(J7=0,Параметры!$B$16,ROUND(J7*(1+IF(K$48&lt;=12,Параметры!$B$17,Параметры!$B$18)),0)))</f>
        <v/>
      </c>
      <c r="L7" s="25">
        <f>IF(L$48&lt;Параметры!$B$15,0,IF(K7=0,Параметры!$B$16,ROUND(K7*(1+IF(L$48&lt;=12,Параметры!$B$17,Параметры!$B$18)),0)))</f>
        <v/>
      </c>
      <c r="M7" s="25">
        <f>IF(M$48&lt;Параметры!$B$15,0,IF(L7=0,Параметры!$B$16,ROUND(L7*(1+IF(M$48&lt;=12,Параметры!$B$17,Параметры!$B$18)),0)))</f>
        <v/>
      </c>
      <c r="N7" s="25">
        <f>IF(N$48&lt;Параметры!$B$15,0,IF(M7=0,Параметры!$B$16,ROUND(M7*(1+IF(N$48&lt;=12,Параметры!$B$17,Параметры!$B$18)),0)))</f>
        <v/>
      </c>
      <c r="O7" s="25">
        <f>IF(O$48&lt;Параметры!$B$15,0,IF(N7=0,Параметры!$B$16,ROUND(N7*(1+IF(O$48&lt;=12,Параметры!$B$17,Параметры!$B$18)),0)))</f>
        <v/>
      </c>
      <c r="P7" s="25">
        <f>IF(P$48&lt;Параметры!$B$15,0,IF(O7=0,Параметры!$B$16,ROUND(O7*(1+IF(P$48&lt;=12,Параметры!$B$17,Параметры!$B$18)),0)))</f>
        <v/>
      </c>
      <c r="Q7" s="25">
        <f>IF(Q$48&lt;Параметры!$B$15,0,IF(P7=0,Параметры!$B$16,ROUND(P7*(1+IF(Q$48&lt;=12,Параметры!$B$17,Параметры!$B$18)),0)))</f>
        <v/>
      </c>
      <c r="R7" s="25">
        <f>IF(R$48&lt;Параметры!$B$15,0,IF(Q7=0,Параметры!$B$16,ROUND(Q7*(1+IF(R$48&lt;=12,Параметры!$B$17,Параметры!$B$18)),0)))</f>
        <v/>
      </c>
      <c r="S7" s="25">
        <f>IF(S$48&lt;Параметры!$B$15,0,IF(R7=0,Параметры!$B$16,ROUND(R7*(1+IF(S$48&lt;=12,Параметры!$B$17,Параметры!$B$18)),0)))</f>
        <v/>
      </c>
      <c r="T7" s="25">
        <f>IF(T$48&lt;Параметры!$B$15,0,IF(S7=0,Параметры!$B$16,ROUND(S7*(1+IF(T$48&lt;=12,Параметры!$B$17,Параметры!$B$18)),0)))</f>
        <v/>
      </c>
      <c r="U7" s="25">
        <f>IF(U$48&lt;Параметры!$B$15,0,IF(T7=0,Параметры!$B$16,ROUND(T7*(1+IF(U$48&lt;=12,Параметры!$B$17,Параметры!$B$18)),0)))</f>
        <v/>
      </c>
      <c r="V7" s="25">
        <f>IF(V$48&lt;Параметры!$B$15,0,IF(U7=0,Параметры!$B$16,ROUND(U7*(1+IF(V$48&lt;=12,Параметры!$B$17,Параметры!$B$18)),0)))</f>
        <v/>
      </c>
      <c r="W7" s="25">
        <f>IF(W$48&lt;Параметры!$B$15,0,IF(V7=0,Параметры!$B$16,ROUND(V7*(1+IF(W$48&lt;=12,Параметры!$B$17,Параметры!$B$18)),0)))</f>
        <v/>
      </c>
      <c r="X7" s="25">
        <f>IF(X$48&lt;Параметры!$B$15,0,IF(W7=0,Параметры!$B$16,ROUND(W7*(1+IF(X$48&lt;=12,Параметры!$B$17,Параметры!$B$18)),0)))</f>
        <v/>
      </c>
      <c r="Y7" s="25">
        <f>IF(Y$48&lt;Параметры!$B$15,0,IF(X7=0,Параметры!$B$16,ROUND(X7*(1+IF(Y$48&lt;=12,Параметры!$B$17,Параметры!$B$18)),0)))</f>
        <v/>
      </c>
      <c r="Z7" s="21" t="n"/>
      <c r="AA7" s="6" t="n"/>
      <c r="AB7" s="6" t="n"/>
    </row>
    <row r="8" ht="15" customHeight="1" s="92">
      <c r="A8" s="22" t="inlineStr">
        <is>
          <t>Средний чек</t>
        </is>
      </c>
      <c r="B8" s="97">
        <f>Параметры!$B$6</f>
        <v/>
      </c>
      <c r="C8" s="100">
        <f>Параметры!$B$6</f>
        <v/>
      </c>
      <c r="D8" s="100">
        <f>Параметры!$B$6</f>
        <v/>
      </c>
      <c r="E8" s="100">
        <f>Параметры!$B$6</f>
        <v/>
      </c>
      <c r="F8" s="100">
        <f>Параметры!$B$6</f>
        <v/>
      </c>
      <c r="G8" s="100">
        <f>Параметры!$B$6</f>
        <v/>
      </c>
      <c r="H8" s="100">
        <f>Параметры!$B$6</f>
        <v/>
      </c>
      <c r="I8" s="100">
        <f>Параметры!$B$6</f>
        <v/>
      </c>
      <c r="J8" s="100">
        <f>Параметры!$B$6</f>
        <v/>
      </c>
      <c r="K8" s="100">
        <f>Параметры!$B$6</f>
        <v/>
      </c>
      <c r="L8" s="100">
        <f>Параметры!$B$6</f>
        <v/>
      </c>
      <c r="M8" s="100">
        <f>Параметры!$B$6</f>
        <v/>
      </c>
      <c r="N8" s="100">
        <f>Параметры!$B$6</f>
        <v/>
      </c>
      <c r="O8" s="100">
        <f>Параметры!$B$6</f>
        <v/>
      </c>
      <c r="P8" s="100">
        <f>Параметры!$B$6</f>
        <v/>
      </c>
      <c r="Q8" s="100">
        <f>Параметры!$B$6</f>
        <v/>
      </c>
      <c r="R8" s="100">
        <f>Параметры!$B$6</f>
        <v/>
      </c>
      <c r="S8" s="100">
        <f>Параметры!$B$6</f>
        <v/>
      </c>
      <c r="T8" s="100">
        <f>Параметры!$B$6</f>
        <v/>
      </c>
      <c r="U8" s="100">
        <f>Параметры!$B$6</f>
        <v/>
      </c>
      <c r="V8" s="100">
        <f>Параметры!$B$6</f>
        <v/>
      </c>
      <c r="W8" s="100">
        <f>Параметры!$B$6</f>
        <v/>
      </c>
      <c r="X8" s="100">
        <f>Параметры!$B$6</f>
        <v/>
      </c>
      <c r="Y8" s="100">
        <f>Параметры!$B$6</f>
        <v/>
      </c>
      <c r="Z8" s="21" t="n"/>
      <c r="AA8" s="6" t="n"/>
      <c r="AB8" s="6" t="n"/>
    </row>
    <row r="9" ht="15" customHeight="1" s="92">
      <c r="A9" s="26" t="inlineStr">
        <is>
          <t>Продажа товара 3 — B2B (командная экипировка, опт)</t>
        </is>
      </c>
      <c r="B9" s="101">
        <f>IF(B$48&lt;Параметры!$B$19,0,ROUND(Параметры!$B$20*Параметры!$B$8,0))</f>
        <v/>
      </c>
      <c r="C9" s="102">
        <f>IF(C$48&lt;Параметры!$B$19,0,IF(B9=0,ROUND(Параметры!$B$20*Параметры!$B$8,0),ROUND(B9*(1+Параметры!$B$21),0)))</f>
        <v/>
      </c>
      <c r="D9" s="102">
        <f>IF(D$48&lt;Параметры!$B$19,0,IF(C9=0,ROUND(Параметры!$B$20*Параметры!$B$8,0),ROUND(C9*(1+Параметры!$B$21),0)))</f>
        <v/>
      </c>
      <c r="E9" s="102">
        <f>IF(E$48&lt;Параметры!$B$19,0,IF(D9=0,ROUND(Параметры!$B$20*Параметры!$B$8,0),ROUND(D9*(1+Параметры!$B$21),0)))</f>
        <v/>
      </c>
      <c r="F9" s="102">
        <f>IF(F$48&lt;Параметры!$B$19,0,IF(E9=0,ROUND(Параметры!$B$20*Параметры!$B$8,0),ROUND(E9*(1+Параметры!$B$21),0)))</f>
        <v/>
      </c>
      <c r="G9" s="102">
        <f>IF(G$48&lt;Параметры!$B$19,0,IF(F9=0,ROUND(Параметры!$B$20*Параметры!$B$8,0),ROUND(F9*(1+Параметры!$B$21),0)))</f>
        <v/>
      </c>
      <c r="H9" s="102">
        <f>IF(H$48&lt;Параметры!$B$19,0,IF(G9=0,ROUND(Параметры!$B$20*Параметры!$B$8,0),ROUND(G9*(1+Параметры!$B$21),0)))</f>
        <v/>
      </c>
      <c r="I9" s="102">
        <f>IF(I$48&lt;Параметры!$B$19,0,IF(H9=0,ROUND(Параметры!$B$20*Параметры!$B$8,0),ROUND(H9*(1+Параметры!$B$21),0)))</f>
        <v/>
      </c>
      <c r="J9" s="102">
        <f>IF(J$48&lt;Параметры!$B$19,0,IF(I9=0,ROUND(Параметры!$B$20*Параметры!$B$8,0),ROUND(I9*(1+Параметры!$B$21),0)))</f>
        <v/>
      </c>
      <c r="K9" s="102">
        <f>IF(K$48&lt;Параметры!$B$19,0,IF(J9=0,ROUND(Параметры!$B$20*Параметры!$B$8,0),ROUND(J9*(1+Параметры!$B$21),0)))</f>
        <v/>
      </c>
      <c r="L9" s="102">
        <f>IF(L$48&lt;Параметры!$B$19,0,IF(K9=0,ROUND(Параметры!$B$20*Параметры!$B$8,0),ROUND(K9*(1+Параметры!$B$21),0)))</f>
        <v/>
      </c>
      <c r="M9" s="102">
        <f>IF(M$48&lt;Параметры!$B$19,0,IF(L9=0,ROUND(Параметры!$B$20*Параметры!$B$8,0),ROUND(L9*(1+Параметры!$B$21),0)))</f>
        <v/>
      </c>
      <c r="N9" s="102">
        <f>IF(N$48&lt;Параметры!$B$19,0,IF(M9=0,ROUND(Параметры!$B$20*Параметры!$B$8,0),ROUND(M9*(1+Параметры!$B$21),0)))</f>
        <v/>
      </c>
      <c r="O9" s="102">
        <f>IF(O$48&lt;Параметры!$B$19,0,IF(N9=0,ROUND(Параметры!$B$20*Параметры!$B$8,0),ROUND(N9*(1+Параметры!$B$21),0)))</f>
        <v/>
      </c>
      <c r="P9" s="102">
        <f>IF(P$48&lt;Параметры!$B$19,0,IF(O9=0,ROUND(Параметры!$B$20*Параметры!$B$8,0),ROUND(O9*(1+Параметры!$B$21),0)))</f>
        <v/>
      </c>
      <c r="Q9" s="102">
        <f>IF(Q$48&lt;Параметры!$B$19,0,IF(P9=0,ROUND(Параметры!$B$20*Параметры!$B$8,0),ROUND(P9*(1+Параметры!$B$21),0)))</f>
        <v/>
      </c>
      <c r="R9" s="102">
        <f>IF(R$48&lt;Параметры!$B$19,0,IF(Q9=0,ROUND(Параметры!$B$20*Параметры!$B$8,0),ROUND(Q9*(1+Параметры!$B$21),0)))</f>
        <v/>
      </c>
      <c r="S9" s="102">
        <f>IF(S$48&lt;Параметры!$B$19,0,IF(R9=0,ROUND(Параметры!$B$20*Параметры!$B$8,0),ROUND(R9*(1+Параметры!$B$21),0)))</f>
        <v/>
      </c>
      <c r="T9" s="102">
        <f>IF(T$48&lt;Параметры!$B$19,0,IF(S9=0,ROUND(Параметры!$B$20*Параметры!$B$8,0),ROUND(S9*(1+Параметры!$B$21),0)))</f>
        <v/>
      </c>
      <c r="U9" s="102">
        <f>IF(U$48&lt;Параметры!$B$19,0,IF(T9=0,ROUND(Параметры!$B$20*Параметры!$B$8,0),ROUND(T9*(1+Параметры!$B$21),0)))</f>
        <v/>
      </c>
      <c r="V9" s="102">
        <f>IF(V$48&lt;Параметры!$B$19,0,IF(U9=0,ROUND(Параметры!$B$20*Параметры!$B$8,0),ROUND(U9*(1+Параметры!$B$21),0)))</f>
        <v/>
      </c>
      <c r="W9" s="102">
        <f>IF(W$48&lt;Параметры!$B$19,0,IF(V9=0,ROUND(Параметры!$B$20*Параметры!$B$8,0),ROUND(V9*(1+Параметры!$B$21),0)))</f>
        <v/>
      </c>
      <c r="X9" s="102">
        <f>IF(X$48&lt;Параметры!$B$19,0,IF(W9=0,ROUND(Параметры!$B$20*Параметры!$B$8,0),ROUND(W9*(1+Параметры!$B$21),0)))</f>
        <v/>
      </c>
      <c r="Y9" s="103">
        <f>IF(Y$48&lt;Параметры!$B$19,0,IF(X9=0,ROUND(Параметры!$B$20*Параметры!$B$8,0),ROUND(X9*(1+Параметры!$B$21),0)))</f>
        <v/>
      </c>
      <c r="Z9" s="104">
        <f>SUM(B9:Y9)</f>
        <v/>
      </c>
      <c r="AA9" s="6" t="n"/>
      <c r="AB9" s="6" t="n"/>
    </row>
    <row r="10" ht="15" customHeight="1" s="92">
      <c r="A10" s="31" t="inlineStr">
        <is>
          <t>ИНВЕСТИЦИИ (транши по потребности)</t>
        </is>
      </c>
      <c r="B10" s="105">
        <f>MIN(MAX(Параметры!$B$68,ROUNDUP((0-(Параметры!$B$76+(B3+B6+B9)-(B17+B22+B26+B34+B38+B42)-B43))/Параметры!$B$69,0)*Параметры!$B$69),Параметры!$B$73)</f>
        <v/>
      </c>
      <c r="C10" s="106">
        <f>MIN(MAX(0,ROUNDUP((Параметры!$B$70-(B46+(C3+C6+C9)-(C17+C22+C26+C34+C38+C42)-C43))/Параметры!$B$69,0)*Параметры!$B$69),MAX(0,Параметры!$B$73-B59))</f>
        <v/>
      </c>
      <c r="D10" s="106">
        <f>MIN(MAX(0,ROUNDUP((Параметры!$B$70-(C46+(D3+D6+D9)-(D17+D22+D26+D34+D38+D42)-D43))/Параметры!$B$69,0)*Параметры!$B$69),MAX(0,Параметры!$B$73-C59))</f>
        <v/>
      </c>
      <c r="E10" s="106">
        <f>MIN(MAX(0,ROUNDUP((Параметры!$B$70-(D46+(E3+E6+E9)-(E17+E22+E26+E34+E38+E42)-E43))/Параметры!$B$69,0)*Параметры!$B$69),MAX(0,Параметры!$B$73-D59))</f>
        <v/>
      </c>
      <c r="F10" s="106">
        <f>MIN(MAX(0,ROUNDUP((Параметры!$B$70-(E46+(F3+F6+F9)-(F17+F22+F26+F34+F38+F42)-F43))/Параметры!$B$69,0)*Параметры!$B$69),MAX(0,Параметры!$B$73-E59))</f>
        <v/>
      </c>
      <c r="G10" s="106">
        <f>MIN(MAX(0,ROUNDUP((Параметры!$B$70-(F46+(G3+G6+G9)-(G17+G22+G26+G34+G38+G42)-G43))/Параметры!$B$69,0)*Параметры!$B$69),MAX(0,Параметры!$B$73-F59))</f>
        <v/>
      </c>
      <c r="H10" s="106">
        <f>MIN(MAX(0,ROUNDUP((Параметры!$B$70-(G46+(H3+H6+H9)-(H17+H22+H26+H34+H38+H42)-H43))/Параметры!$B$69,0)*Параметры!$B$69),MAX(0,Параметры!$B$73-G59))</f>
        <v/>
      </c>
      <c r="I10" s="106">
        <f>MIN(MAX(0,ROUNDUP((Параметры!$B$70-(H46+(I3+I6+I9)-(I17+I22+I26+I34+I38+I42)-I43))/Параметры!$B$69,0)*Параметры!$B$69),MAX(0,Параметры!$B$73-H59))</f>
        <v/>
      </c>
      <c r="J10" s="106">
        <f>MIN(MAX(0,ROUNDUP((Параметры!$B$70-(I46+(J3+J6+J9)-(J17+J22+J26+J34+J38+J42)-J43))/Параметры!$B$69,0)*Параметры!$B$69),MAX(0,Параметры!$B$73-I59))</f>
        <v/>
      </c>
      <c r="K10" s="106">
        <f>MIN(MAX(0,ROUNDUP((Параметры!$B$70-(J46+(K3+K6+K9)-(K17+K22+K26+K34+K38+K42)-K43))/Параметры!$B$69,0)*Параметры!$B$69),MAX(0,Параметры!$B$73-J59))</f>
        <v/>
      </c>
      <c r="L10" s="106">
        <f>MIN(MAX(0,ROUNDUP((Параметры!$B$70-(K46+(L3+L6+L9)-(L17+L22+L26+L34+L38+L42)-L43))/Параметры!$B$69,0)*Параметры!$B$69),MAX(0,Параметры!$B$73-K59))</f>
        <v/>
      </c>
      <c r="M10" s="106">
        <f>MIN(MAX(0,ROUNDUP((Параметры!$B$70-(L46+(M3+M6+M9)-(M17+M22+M26+M34+M38+M42)-M43))/Параметры!$B$69,0)*Параметры!$B$69),MAX(0,Параметры!$B$73-L59))</f>
        <v/>
      </c>
      <c r="N10" s="106">
        <f>MIN(MAX(0,ROUNDUP((Параметры!$B$70-(M46+(N3+N6+N9)-(N17+N22+N26+N34+N38+N42)-N43))/Параметры!$B$69,0)*Параметры!$B$69),MAX(0,Параметры!$B$73-M59))</f>
        <v/>
      </c>
      <c r="O10" s="106">
        <f>MIN(MAX(0,ROUNDUP((Параметры!$B$70-(N46+(O3+O6+O9)-(O17+O22+O26+O34+O38+O42)-O43))/Параметры!$B$69,0)*Параметры!$B$69),MAX(0,Параметры!$B$73-N59))</f>
        <v/>
      </c>
      <c r="P10" s="106">
        <f>MIN(MAX(0,ROUNDUP((Параметры!$B$70-(O46+(P3+P6+P9)-(P17+P22+P26+P34+P38+P42)-P43))/Параметры!$B$69,0)*Параметры!$B$69),MAX(0,Параметры!$B$73-O59))</f>
        <v/>
      </c>
      <c r="Q10" s="106">
        <f>MIN(MAX(0,ROUNDUP((Параметры!$B$70-(P46+(Q3+Q6+Q9)-(Q17+Q22+Q26+Q34+Q38+Q42)-Q43))/Параметры!$B$69,0)*Параметры!$B$69),MAX(0,Параметры!$B$73-P59))</f>
        <v/>
      </c>
      <c r="R10" s="106">
        <f>MIN(MAX(0,ROUNDUP((Параметры!$B$70-(Q46+(R3+R6+R9)-(R17+R22+R26+R34+R38+R42)-R43))/Параметры!$B$69,0)*Параметры!$B$69),MAX(0,Параметры!$B$73-Q59))</f>
        <v/>
      </c>
      <c r="S10" s="106">
        <f>MIN(MAX(0,ROUNDUP((Параметры!$B$70-(R46+(S3+S6+S9)-(S17+S22+S26+S34+S38+S42)-S43))/Параметры!$B$69,0)*Параметры!$B$69),MAX(0,Параметры!$B$73-R59))</f>
        <v/>
      </c>
      <c r="T10" s="106">
        <f>MIN(MAX(0,ROUNDUP((Параметры!$B$70-(S46+(T3+T6+T9)-(T17+T22+T26+T34+T38+T42)-T43))/Параметры!$B$69,0)*Параметры!$B$69),MAX(0,Параметры!$B$73-S59))</f>
        <v/>
      </c>
      <c r="U10" s="106">
        <f>MIN(MAX(0,ROUNDUP((Параметры!$B$70-(T46+(U3+U6+U9)-(U17+U22+U26+U34+U38+U42)-U43))/Параметры!$B$69,0)*Параметры!$B$69),MAX(0,Параметры!$B$73-T59))</f>
        <v/>
      </c>
      <c r="V10" s="106">
        <f>MIN(MAX(0,ROUNDUP((Параметры!$B$70-(U46+(V3+V6+V9)-(V17+V22+V26+V34+V38+V42)-V43))/Параметры!$B$69,0)*Параметры!$B$69),MAX(0,Параметры!$B$73-U59))</f>
        <v/>
      </c>
      <c r="W10" s="106">
        <f>MIN(MAX(0,ROUNDUP((Параметры!$B$70-(V46+(W3+W6+W9)-(W17+W22+W26+W34+W38+W42)-W43))/Параметры!$B$69,0)*Параметры!$B$69),MAX(0,Параметры!$B$73-V59))</f>
        <v/>
      </c>
      <c r="X10" s="106">
        <f>MIN(MAX(0,ROUNDUP((Параметры!$B$70-(W46+(X3+X6+X9)-(X17+X22+X26+X34+X38+X42)-X43))/Параметры!$B$69,0)*Параметры!$B$69),MAX(0,Параметры!$B$73-W59))</f>
        <v/>
      </c>
      <c r="Y10" s="107">
        <f>MIN(MAX(0,ROUNDUP((Параметры!$B$70-(X46+(Y3+Y6+Y9)-(Y17+Y22+Y26+Y34+Y38+Y42)-Y43))/Параметры!$B$69,0)*Параметры!$B$69),MAX(0,Параметры!$B$73-X59))</f>
        <v/>
      </c>
      <c r="Z10" s="108">
        <f>SUM(B10:Y10)</f>
        <v/>
      </c>
      <c r="AA10" s="6" t="n"/>
      <c r="AB10" s="6" t="n"/>
    </row>
    <row r="11" ht="15" customHeight="1" s="92">
      <c r="A11" s="36" t="inlineStr">
        <is>
          <t>ПРИХОД ИТОГО</t>
        </is>
      </c>
      <c r="B11" s="37">
        <f>B10+B9+B6+B3</f>
        <v/>
      </c>
      <c r="C11" s="37">
        <f>C10+C9+C6+C3</f>
        <v/>
      </c>
      <c r="D11" s="37">
        <f>D10+D9+D6+D3</f>
        <v/>
      </c>
      <c r="E11" s="37">
        <f>E10+E9+E6+E3</f>
        <v/>
      </c>
      <c r="F11" s="37">
        <f>F10+F9+F6+F3</f>
        <v/>
      </c>
      <c r="G11" s="37">
        <f>G10+G9+G6+G3</f>
        <v/>
      </c>
      <c r="H11" s="37">
        <f>H10+H9+H6+H3</f>
        <v/>
      </c>
      <c r="I11" s="37">
        <f>I10+I9+I6+I3</f>
        <v/>
      </c>
      <c r="J11" s="37">
        <f>J10+J9+J6+J3</f>
        <v/>
      </c>
      <c r="K11" s="37">
        <f>K10+K9+K6+K3</f>
        <v/>
      </c>
      <c r="L11" s="37">
        <f>L10+L9+L6+L3</f>
        <v/>
      </c>
      <c r="M11" s="37">
        <f>M10+M9+M6+M3</f>
        <v/>
      </c>
      <c r="N11" s="37">
        <f>N10+N9+N6+N3</f>
        <v/>
      </c>
      <c r="O11" s="37">
        <f>O10+O9+O6+O3</f>
        <v/>
      </c>
      <c r="P11" s="37">
        <f>P10+P9+P6+P3</f>
        <v/>
      </c>
      <c r="Q11" s="37">
        <f>Q10+Q9+Q6+Q3</f>
        <v/>
      </c>
      <c r="R11" s="37">
        <f>R10+R9+R6+R3</f>
        <v/>
      </c>
      <c r="S11" s="37">
        <f>S10+S9+S6+S3</f>
        <v/>
      </c>
      <c r="T11" s="37">
        <f>T10+T9+T6+T3</f>
        <v/>
      </c>
      <c r="U11" s="37">
        <f>U10+U9+U6+U3</f>
        <v/>
      </c>
      <c r="V11" s="37">
        <f>V10+V9+V6+V3</f>
        <v/>
      </c>
      <c r="W11" s="37">
        <f>W10+W9+W6+W3</f>
        <v/>
      </c>
      <c r="X11" s="37">
        <f>X10+X9+X6+X3</f>
        <v/>
      </c>
      <c r="Y11" s="37">
        <f>Y10+Y9+Y6+Y3</f>
        <v/>
      </c>
      <c r="Z11" s="38">
        <f>SUM(B11:Y11)</f>
        <v/>
      </c>
      <c r="AA11" s="6" t="n"/>
      <c r="AB11" s="6" t="n"/>
    </row>
    <row r="12" ht="15" customHeight="1" s="92">
      <c r="A12" s="7" t="inlineStr">
        <is>
          <t>РАСХОД</t>
        </is>
      </c>
      <c r="B12" s="39" t="n"/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40">
        <f>Z17+Z22+Z26+Z34+Z38+Z42+Z43</f>
        <v/>
      </c>
      <c r="AA12" s="6" t="n"/>
      <c r="AB12" s="6" t="n"/>
    </row>
    <row r="13" ht="15" customHeight="1" s="92">
      <c r="A13" s="41" t="inlineStr">
        <is>
          <t>Разработка сайта и IT (ЗП разработчика, штат)</t>
        </is>
      </c>
      <c r="B13" s="109">
        <f>IF(B$48&lt;Параметры!$B$35,0,ROUND(Параметры!$B$34*IF(B$48&lt;=12,1,1+Параметры!$B$39),0))</f>
        <v/>
      </c>
      <c r="C13" s="109">
        <f>IF(C$48&lt;Параметры!$B$35,0,ROUND(Параметры!$B$34*IF(C$48&lt;=12,1,1+Параметры!$B$39),0))</f>
        <v/>
      </c>
      <c r="D13" s="109">
        <f>IF(D$48&lt;Параметры!$B$35,0,ROUND(Параметры!$B$34*IF(D$48&lt;=12,1,1+Параметры!$B$39),0))</f>
        <v/>
      </c>
      <c r="E13" s="109">
        <f>IF(E$48&lt;Параметры!$B$35,0,ROUND(Параметры!$B$34*IF(E$48&lt;=12,1,1+Параметры!$B$39),0))</f>
        <v/>
      </c>
      <c r="F13" s="109">
        <f>IF(F$48&lt;Параметры!$B$35,0,ROUND(Параметры!$B$34*IF(F$48&lt;=12,1,1+Параметры!$B$39),0))</f>
        <v/>
      </c>
      <c r="G13" s="109">
        <f>IF(G$48&lt;Параметры!$B$35,0,ROUND(Параметры!$B$34*IF(G$48&lt;=12,1,1+Параметры!$B$39),0))</f>
        <v/>
      </c>
      <c r="H13" s="109">
        <f>IF(H$48&lt;Параметры!$B$35,0,ROUND(Параметры!$B$34*IF(H$48&lt;=12,1,1+Параметры!$B$39),0))</f>
        <v/>
      </c>
      <c r="I13" s="109">
        <f>IF(I$48&lt;Параметры!$B$35,0,ROUND(Параметры!$B$34*IF(I$48&lt;=12,1,1+Параметры!$B$39),0))</f>
        <v/>
      </c>
      <c r="J13" s="109">
        <f>IF(J$48&lt;Параметры!$B$35,0,ROUND(Параметры!$B$34*IF(J$48&lt;=12,1,1+Параметры!$B$39),0))</f>
        <v/>
      </c>
      <c r="K13" s="109">
        <f>IF(K$48&lt;Параметры!$B$35,0,ROUND(Параметры!$B$34*IF(K$48&lt;=12,1,1+Параметры!$B$39),0))</f>
        <v/>
      </c>
      <c r="L13" s="109">
        <f>IF(L$48&lt;Параметры!$B$35,0,ROUND(Параметры!$B$34*IF(L$48&lt;=12,1,1+Параметры!$B$39),0))</f>
        <v/>
      </c>
      <c r="M13" s="109">
        <f>IF(M$48&lt;Параметры!$B$35,0,ROUND(Параметры!$B$34*IF(M$48&lt;=12,1,1+Параметры!$B$39),0))</f>
        <v/>
      </c>
      <c r="N13" s="109">
        <f>IF(N$48&lt;Параметры!$B$35,0,ROUND(Параметры!$B$34*IF(N$48&lt;=12,1,1+Параметры!$B$39),0))</f>
        <v/>
      </c>
      <c r="O13" s="109">
        <f>IF(O$48&lt;Параметры!$B$35,0,ROUND(Параметры!$B$34*IF(O$48&lt;=12,1,1+Параметры!$B$39),0))</f>
        <v/>
      </c>
      <c r="P13" s="109">
        <f>IF(P$48&lt;Параметры!$B$35,0,ROUND(Параметры!$B$34*IF(P$48&lt;=12,1,1+Параметры!$B$39),0))</f>
        <v/>
      </c>
      <c r="Q13" s="109">
        <f>IF(Q$48&lt;Параметры!$B$35,0,ROUND(Параметры!$B$34*IF(Q$48&lt;=12,1,1+Параметры!$B$39),0))</f>
        <v/>
      </c>
      <c r="R13" s="109">
        <f>IF(R$48&lt;Параметры!$B$35,0,ROUND(Параметры!$B$34*IF(R$48&lt;=12,1,1+Параметры!$B$39),0))</f>
        <v/>
      </c>
      <c r="S13" s="109">
        <f>IF(S$48&lt;Параметры!$B$35,0,ROUND(Параметры!$B$34*IF(S$48&lt;=12,1,1+Параметры!$B$39),0))</f>
        <v/>
      </c>
      <c r="T13" s="109">
        <f>IF(T$48&lt;Параметры!$B$35,0,ROUND(Параметры!$B$34*IF(T$48&lt;=12,1,1+Параметры!$B$39),0))</f>
        <v/>
      </c>
      <c r="U13" s="109">
        <f>IF(U$48&lt;Параметры!$B$35,0,ROUND(Параметры!$B$34*IF(U$48&lt;=12,1,1+Параметры!$B$39),0))</f>
        <v/>
      </c>
      <c r="V13" s="109">
        <f>IF(V$48&lt;Параметры!$B$35,0,ROUND(Параметры!$B$34*IF(V$48&lt;=12,1,1+Параметры!$B$39),0))</f>
        <v/>
      </c>
      <c r="W13" s="109">
        <f>IF(W$48&lt;Параметры!$B$35,0,ROUND(Параметры!$B$34*IF(W$48&lt;=12,1,1+Параметры!$B$39),0))</f>
        <v/>
      </c>
      <c r="X13" s="109">
        <f>IF(X$48&lt;Параметры!$B$35,0,ROUND(Параметры!$B$34*IF(X$48&lt;=12,1,1+Параметры!$B$39),0))</f>
        <v/>
      </c>
      <c r="Y13" s="109">
        <f>IF(Y$48&lt;Параметры!$B$35,0,ROUND(Параметры!$B$34*IF(Y$48&lt;=12,1,1+Параметры!$B$39),0))</f>
        <v/>
      </c>
      <c r="Z13" s="110">
        <f>SUM(B13:Y13)</f>
        <v/>
      </c>
      <c r="AA13" s="6" t="n"/>
      <c r="AB13" s="6" t="n"/>
    </row>
    <row r="14" ht="15" customHeight="1" s="92">
      <c r="A14" s="41" t="inlineStr">
        <is>
          <t>Техподдержка и дизайн принтов (ЗП дизайнера, штат)</t>
        </is>
      </c>
      <c r="B14" s="109">
        <f>IF(B$48&lt;Параметры!$B$27,0,ROUND(Параметры!$B$26*IF(B$48&lt;=12,1,1+Параметры!$B$39),0))</f>
        <v/>
      </c>
      <c r="C14" s="109">
        <f>IF(C$48&lt;Параметры!$B$27,0,ROUND(Параметры!$B$26*IF(C$48&lt;=12,1,1+Параметры!$B$39),0))</f>
        <v/>
      </c>
      <c r="D14" s="109">
        <f>IF(D$48&lt;Параметры!$B$27,0,ROUND(Параметры!$B$26*IF(D$48&lt;=12,1,1+Параметры!$B$39),0))</f>
        <v/>
      </c>
      <c r="E14" s="109">
        <f>IF(E$48&lt;Параметры!$B$27,0,ROUND(Параметры!$B$26*IF(E$48&lt;=12,1,1+Параметры!$B$39),0))</f>
        <v/>
      </c>
      <c r="F14" s="109">
        <f>IF(F$48&lt;Параметры!$B$27,0,ROUND(Параметры!$B$26*IF(F$48&lt;=12,1,1+Параметры!$B$39),0))</f>
        <v/>
      </c>
      <c r="G14" s="109">
        <f>IF(G$48&lt;Параметры!$B$27,0,ROUND(Параметры!$B$26*IF(G$48&lt;=12,1,1+Параметры!$B$39),0))</f>
        <v/>
      </c>
      <c r="H14" s="109">
        <f>IF(H$48&lt;Параметры!$B$27,0,ROUND(Параметры!$B$26*IF(H$48&lt;=12,1,1+Параметры!$B$39),0))</f>
        <v/>
      </c>
      <c r="I14" s="109">
        <f>IF(I$48&lt;Параметры!$B$27,0,ROUND(Параметры!$B$26*IF(I$48&lt;=12,1,1+Параметры!$B$39),0))</f>
        <v/>
      </c>
      <c r="J14" s="109">
        <f>IF(J$48&lt;Параметры!$B$27,0,ROUND(Параметры!$B$26*IF(J$48&lt;=12,1,1+Параметры!$B$39),0))</f>
        <v/>
      </c>
      <c r="K14" s="109">
        <f>IF(K$48&lt;Параметры!$B$27,0,ROUND(Параметры!$B$26*IF(K$48&lt;=12,1,1+Параметры!$B$39),0))</f>
        <v/>
      </c>
      <c r="L14" s="109">
        <f>IF(L$48&lt;Параметры!$B$27,0,ROUND(Параметры!$B$26*IF(L$48&lt;=12,1,1+Параметры!$B$39),0))</f>
        <v/>
      </c>
      <c r="M14" s="109">
        <f>IF(M$48&lt;Параметры!$B$27,0,ROUND(Параметры!$B$26*IF(M$48&lt;=12,1,1+Параметры!$B$39),0))</f>
        <v/>
      </c>
      <c r="N14" s="109">
        <f>IF(N$48&lt;Параметры!$B$27,0,ROUND(Параметры!$B$26*IF(N$48&lt;=12,1,1+Параметры!$B$39),0))</f>
        <v/>
      </c>
      <c r="O14" s="109">
        <f>IF(O$48&lt;Параметры!$B$27,0,ROUND(Параметры!$B$26*IF(O$48&lt;=12,1,1+Параметры!$B$39),0))</f>
        <v/>
      </c>
      <c r="P14" s="109">
        <f>IF(P$48&lt;Параметры!$B$27,0,ROUND(Параметры!$B$26*IF(P$48&lt;=12,1,1+Параметры!$B$39),0))</f>
        <v/>
      </c>
      <c r="Q14" s="109">
        <f>IF(Q$48&lt;Параметры!$B$27,0,ROUND(Параметры!$B$26*IF(Q$48&lt;=12,1,1+Параметры!$B$39),0))</f>
        <v/>
      </c>
      <c r="R14" s="109">
        <f>IF(R$48&lt;Параметры!$B$27,0,ROUND(Параметры!$B$26*IF(R$48&lt;=12,1,1+Параметры!$B$39),0))</f>
        <v/>
      </c>
      <c r="S14" s="109">
        <f>IF(S$48&lt;Параметры!$B$27,0,ROUND(Параметры!$B$26*IF(S$48&lt;=12,1,1+Параметры!$B$39),0))</f>
        <v/>
      </c>
      <c r="T14" s="109">
        <f>IF(T$48&lt;Параметры!$B$27,0,ROUND(Параметры!$B$26*IF(T$48&lt;=12,1,1+Параметры!$B$39),0))</f>
        <v/>
      </c>
      <c r="U14" s="109">
        <f>IF(U$48&lt;Параметры!$B$27,0,ROUND(Параметры!$B$26*IF(U$48&lt;=12,1,1+Параметры!$B$39),0))</f>
        <v/>
      </c>
      <c r="V14" s="109">
        <f>IF(V$48&lt;Параметры!$B$27,0,ROUND(Параметры!$B$26*IF(V$48&lt;=12,1,1+Параметры!$B$39),0))</f>
        <v/>
      </c>
      <c r="W14" s="109">
        <f>IF(W$48&lt;Параметры!$B$27,0,ROUND(Параметры!$B$26*IF(W$48&lt;=12,1,1+Параметры!$B$39),0))</f>
        <v/>
      </c>
      <c r="X14" s="109">
        <f>IF(X$48&lt;Параметры!$B$27,0,ROUND(Параметры!$B$26*IF(X$48&lt;=12,1,1+Параметры!$B$39),0))</f>
        <v/>
      </c>
      <c r="Y14" s="109">
        <f>IF(Y$48&lt;Параметры!$B$27,0,ROUND(Параметры!$B$26*IF(Y$48&lt;=12,1,1+Параметры!$B$39),0))</f>
        <v/>
      </c>
      <c r="Z14" s="110">
        <f>SUM(B14:Y14)</f>
        <v/>
      </c>
      <c r="AA14" s="6" t="n"/>
      <c r="AB14" s="6" t="n"/>
    </row>
    <row r="15" ht="15" customHeight="1" s="92">
      <c r="A15" s="41" t="inlineStr">
        <is>
          <t>Хостинг</t>
        </is>
      </c>
      <c r="B15" s="109">
        <f>Параметры!$B$51</f>
        <v/>
      </c>
      <c r="C15" s="109">
        <f>Параметры!$B$51</f>
        <v/>
      </c>
      <c r="D15" s="109">
        <f>Параметры!$B$51</f>
        <v/>
      </c>
      <c r="E15" s="109">
        <f>Параметры!$B$51</f>
        <v/>
      </c>
      <c r="F15" s="109">
        <f>Параметры!$B$51</f>
        <v/>
      </c>
      <c r="G15" s="109">
        <f>Параметры!$B$51</f>
        <v/>
      </c>
      <c r="H15" s="109">
        <f>Параметры!$B$51</f>
        <v/>
      </c>
      <c r="I15" s="109">
        <f>Параметры!$B$51</f>
        <v/>
      </c>
      <c r="J15" s="109">
        <f>Параметры!$B$51</f>
        <v/>
      </c>
      <c r="K15" s="109">
        <f>Параметры!$B$51</f>
        <v/>
      </c>
      <c r="L15" s="109">
        <f>Параметры!$B$51</f>
        <v/>
      </c>
      <c r="M15" s="109">
        <f>Параметры!$B$51</f>
        <v/>
      </c>
      <c r="N15" s="109">
        <f>Параметры!$B$51</f>
        <v/>
      </c>
      <c r="O15" s="109">
        <f>Параметры!$B$51</f>
        <v/>
      </c>
      <c r="P15" s="109">
        <f>Параметры!$B$51</f>
        <v/>
      </c>
      <c r="Q15" s="109">
        <f>Параметры!$B$51</f>
        <v/>
      </c>
      <c r="R15" s="109">
        <f>Параметры!$B$51</f>
        <v/>
      </c>
      <c r="S15" s="109">
        <f>Параметры!$B$51</f>
        <v/>
      </c>
      <c r="T15" s="109">
        <f>Параметры!$B$51</f>
        <v/>
      </c>
      <c r="U15" s="109">
        <f>Параметры!$B$51</f>
        <v/>
      </c>
      <c r="V15" s="109">
        <f>Параметры!$B$51</f>
        <v/>
      </c>
      <c r="W15" s="109">
        <f>Параметры!$B$51</f>
        <v/>
      </c>
      <c r="X15" s="109">
        <f>Параметры!$B$51</f>
        <v/>
      </c>
      <c r="Y15" s="109">
        <f>Параметры!$B$51</f>
        <v/>
      </c>
      <c r="Z15" s="110">
        <f>SUM(B15:Y15)</f>
        <v/>
      </c>
      <c r="AA15" s="6" t="n"/>
      <c r="AB15" s="6" t="n"/>
    </row>
    <row r="16" ht="15" customHeight="1" s="92">
      <c r="A16" s="41" t="inlineStr">
        <is>
          <t>Аренда сервера</t>
        </is>
      </c>
      <c r="B16" s="109">
        <f>Параметры!$B$52</f>
        <v/>
      </c>
      <c r="C16" s="109">
        <f>Параметры!$B$52</f>
        <v/>
      </c>
      <c r="D16" s="109">
        <f>Параметры!$B$52</f>
        <v/>
      </c>
      <c r="E16" s="109">
        <f>Параметры!$B$52</f>
        <v/>
      </c>
      <c r="F16" s="109">
        <f>Параметры!$B$52</f>
        <v/>
      </c>
      <c r="G16" s="109">
        <f>Параметры!$B$52</f>
        <v/>
      </c>
      <c r="H16" s="109">
        <f>Параметры!$B$52</f>
        <v/>
      </c>
      <c r="I16" s="109">
        <f>Параметры!$B$52</f>
        <v/>
      </c>
      <c r="J16" s="109">
        <f>Параметры!$B$52</f>
        <v/>
      </c>
      <c r="K16" s="109">
        <f>Параметры!$B$52</f>
        <v/>
      </c>
      <c r="L16" s="109">
        <f>Параметры!$B$52</f>
        <v/>
      </c>
      <c r="M16" s="109">
        <f>Параметры!$B$52</f>
        <v/>
      </c>
      <c r="N16" s="109">
        <f>Параметры!$B$52</f>
        <v/>
      </c>
      <c r="O16" s="109">
        <f>Параметры!$B$52</f>
        <v/>
      </c>
      <c r="P16" s="109">
        <f>Параметры!$B$52</f>
        <v/>
      </c>
      <c r="Q16" s="109">
        <f>Параметры!$B$52</f>
        <v/>
      </c>
      <c r="R16" s="109">
        <f>Параметры!$B$52</f>
        <v/>
      </c>
      <c r="S16" s="109">
        <f>Параметры!$B$52</f>
        <v/>
      </c>
      <c r="T16" s="109">
        <f>Параметры!$B$52</f>
        <v/>
      </c>
      <c r="U16" s="109">
        <f>Параметры!$B$52</f>
        <v/>
      </c>
      <c r="V16" s="109">
        <f>Параметры!$B$52</f>
        <v/>
      </c>
      <c r="W16" s="109">
        <f>Параметры!$B$52</f>
        <v/>
      </c>
      <c r="X16" s="109">
        <f>Параметры!$B$52</f>
        <v/>
      </c>
      <c r="Y16" s="109">
        <f>Параметры!$B$52</f>
        <v/>
      </c>
      <c r="Z16" s="110">
        <f>SUM(B16:Y16)</f>
        <v/>
      </c>
      <c r="AA16" s="6" t="n"/>
      <c r="AB16" s="6" t="n"/>
    </row>
    <row r="17" ht="15" customHeight="1" s="92">
      <c r="A17" s="44" t="inlineStr">
        <is>
          <t>ИТОГО расходы на ИТ</t>
        </is>
      </c>
      <c r="B17" s="46">
        <f>SUM(B13:B16)</f>
        <v/>
      </c>
      <c r="C17" s="46">
        <f>SUM(C13:C16)</f>
        <v/>
      </c>
      <c r="D17" s="46">
        <f>SUM(D13:D16)</f>
        <v/>
      </c>
      <c r="E17" s="46">
        <f>SUM(E13:E16)</f>
        <v/>
      </c>
      <c r="F17" s="46">
        <f>SUM(F13:F16)</f>
        <v/>
      </c>
      <c r="G17" s="46">
        <f>SUM(G13:G16)</f>
        <v/>
      </c>
      <c r="H17" s="46">
        <f>SUM(H13:H16)</f>
        <v/>
      </c>
      <c r="I17" s="46">
        <f>SUM(I13:I16)</f>
        <v/>
      </c>
      <c r="J17" s="46">
        <f>SUM(J13:J16)</f>
        <v/>
      </c>
      <c r="K17" s="46">
        <f>SUM(K13:K16)</f>
        <v/>
      </c>
      <c r="L17" s="46">
        <f>SUM(L13:L16)</f>
        <v/>
      </c>
      <c r="M17" s="46">
        <f>SUM(M13:M16)</f>
        <v/>
      </c>
      <c r="N17" s="46">
        <f>SUM(N13:N16)</f>
        <v/>
      </c>
      <c r="O17" s="46">
        <f>SUM(O13:O16)</f>
        <v/>
      </c>
      <c r="P17" s="46">
        <f>SUM(P13:P16)</f>
        <v/>
      </c>
      <c r="Q17" s="46">
        <f>SUM(Q13:Q16)</f>
        <v/>
      </c>
      <c r="R17" s="46">
        <f>SUM(R13:R16)</f>
        <v/>
      </c>
      <c r="S17" s="46">
        <f>SUM(S13:S16)</f>
        <v/>
      </c>
      <c r="T17" s="46">
        <f>SUM(T13:T16)</f>
        <v/>
      </c>
      <c r="U17" s="46">
        <f>SUM(U13:U16)</f>
        <v/>
      </c>
      <c r="V17" s="46">
        <f>SUM(V13:V16)</f>
        <v/>
      </c>
      <c r="W17" s="46">
        <f>SUM(W13:W16)</f>
        <v/>
      </c>
      <c r="X17" s="46">
        <f>SUM(X13:X16)</f>
        <v/>
      </c>
      <c r="Y17" s="46">
        <f>SUM(Y13:Y16)</f>
        <v/>
      </c>
      <c r="Z17" s="43">
        <f>SUM(B17:Y17)</f>
        <v/>
      </c>
      <c r="AA17" s="6" t="n"/>
      <c r="AB17" s="6" t="n"/>
    </row>
    <row r="18" ht="15" customHeight="1" s="92">
      <c r="A18" s="47" t="inlineStr">
        <is>
          <t>Бухобслуживание</t>
        </is>
      </c>
      <c r="B18" s="111">
        <f>Параметры!$B$53</f>
        <v/>
      </c>
      <c r="C18" s="111">
        <f>Параметры!$B$53</f>
        <v/>
      </c>
      <c r="D18" s="111">
        <f>Параметры!$B$53</f>
        <v/>
      </c>
      <c r="E18" s="111">
        <f>Параметры!$B$53</f>
        <v/>
      </c>
      <c r="F18" s="111">
        <f>Параметры!$B$53</f>
        <v/>
      </c>
      <c r="G18" s="111">
        <f>Параметры!$B$53</f>
        <v/>
      </c>
      <c r="H18" s="111">
        <f>Параметры!$B$53</f>
        <v/>
      </c>
      <c r="I18" s="111">
        <f>Параметры!$B$53</f>
        <v/>
      </c>
      <c r="J18" s="111">
        <f>Параметры!$B$53</f>
        <v/>
      </c>
      <c r="K18" s="111">
        <f>Параметры!$B$53</f>
        <v/>
      </c>
      <c r="L18" s="111">
        <f>Параметры!$B$53</f>
        <v/>
      </c>
      <c r="M18" s="111">
        <f>Параметры!$B$53</f>
        <v/>
      </c>
      <c r="N18" s="111">
        <f>Параметры!$B$53</f>
        <v/>
      </c>
      <c r="O18" s="111">
        <f>Параметры!$B$53</f>
        <v/>
      </c>
      <c r="P18" s="111">
        <f>Параметры!$B$53</f>
        <v/>
      </c>
      <c r="Q18" s="111">
        <f>Параметры!$B$53</f>
        <v/>
      </c>
      <c r="R18" s="111">
        <f>Параметры!$B$53</f>
        <v/>
      </c>
      <c r="S18" s="111">
        <f>Параметры!$B$53</f>
        <v/>
      </c>
      <c r="T18" s="111">
        <f>Параметры!$B$53</f>
        <v/>
      </c>
      <c r="U18" s="111">
        <f>Параметры!$B$53</f>
        <v/>
      </c>
      <c r="V18" s="111">
        <f>Параметры!$B$53</f>
        <v/>
      </c>
      <c r="W18" s="111">
        <f>Параметры!$B$53</f>
        <v/>
      </c>
      <c r="X18" s="111">
        <f>Параметры!$B$53</f>
        <v/>
      </c>
      <c r="Y18" s="111">
        <f>Параметры!$B$53</f>
        <v/>
      </c>
      <c r="Z18" s="112">
        <f>SUM(B18:Y18)</f>
        <v/>
      </c>
      <c r="AA18" s="6" t="n"/>
      <c r="AB18" s="6" t="n"/>
    </row>
    <row r="19" ht="15" customHeight="1" s="92">
      <c r="A19" s="47" t="inlineStr">
        <is>
          <t>Налоги з/п</t>
        </is>
      </c>
      <c r="B19" s="111">
        <f>ROUND((B34+B13+B14)*Параметры!$B$40,0)</f>
        <v/>
      </c>
      <c r="C19" s="111">
        <f>ROUND((C34+C13+C14)*Параметры!$B$40,0)</f>
        <v/>
      </c>
      <c r="D19" s="111">
        <f>ROUND((D34+D13+D14)*Параметры!$B$40,0)</f>
        <v/>
      </c>
      <c r="E19" s="111">
        <f>ROUND((E34+E13+E14)*Параметры!$B$40,0)</f>
        <v/>
      </c>
      <c r="F19" s="111">
        <f>ROUND((F34+F13+F14)*Параметры!$B$40,0)</f>
        <v/>
      </c>
      <c r="G19" s="111">
        <f>ROUND((G34+G13+G14)*Параметры!$B$40,0)</f>
        <v/>
      </c>
      <c r="H19" s="111">
        <f>ROUND((H34+H13+H14)*Параметры!$B$40,0)</f>
        <v/>
      </c>
      <c r="I19" s="111">
        <f>ROUND((I34+I13+I14)*Параметры!$B$40,0)</f>
        <v/>
      </c>
      <c r="J19" s="111">
        <f>ROUND((J34+J13+J14)*Параметры!$B$40,0)</f>
        <v/>
      </c>
      <c r="K19" s="111">
        <f>ROUND((K34+K13+K14)*Параметры!$B$40,0)</f>
        <v/>
      </c>
      <c r="L19" s="111">
        <f>ROUND((L34+L13+L14)*Параметры!$B$40,0)</f>
        <v/>
      </c>
      <c r="M19" s="111">
        <f>ROUND((M34+M13+M14)*Параметры!$B$40,0)</f>
        <v/>
      </c>
      <c r="N19" s="111">
        <f>ROUND((N34+N13+N14)*Параметры!$B$40,0)</f>
        <v/>
      </c>
      <c r="O19" s="111">
        <f>ROUND((O34+O13+O14)*Параметры!$B$40,0)</f>
        <v/>
      </c>
      <c r="P19" s="111">
        <f>ROUND((P34+P13+P14)*Параметры!$B$40,0)</f>
        <v/>
      </c>
      <c r="Q19" s="111">
        <f>ROUND((Q34+Q13+Q14)*Параметры!$B$40,0)</f>
        <v/>
      </c>
      <c r="R19" s="111">
        <f>ROUND((R34+R13+R14)*Параметры!$B$40,0)</f>
        <v/>
      </c>
      <c r="S19" s="111">
        <f>ROUND((S34+S13+S14)*Параметры!$B$40,0)</f>
        <v/>
      </c>
      <c r="T19" s="111">
        <f>ROUND((T34+T13+T14)*Параметры!$B$40,0)</f>
        <v/>
      </c>
      <c r="U19" s="111">
        <f>ROUND((U34+U13+U14)*Параметры!$B$40,0)</f>
        <v/>
      </c>
      <c r="V19" s="111">
        <f>ROUND((V34+V13+V14)*Параметры!$B$40,0)</f>
        <v/>
      </c>
      <c r="W19" s="111">
        <f>ROUND((W34+W13+W14)*Параметры!$B$40,0)</f>
        <v/>
      </c>
      <c r="X19" s="111">
        <f>ROUND((X34+X13+X14)*Параметры!$B$40,0)</f>
        <v/>
      </c>
      <c r="Y19" s="111">
        <f>ROUND((Y34+Y13+Y14)*Параметры!$B$40,0)</f>
        <v/>
      </c>
      <c r="Z19" s="112">
        <f>SUM(B19:Y19)</f>
        <v/>
      </c>
      <c r="AA19" s="6" t="n"/>
      <c r="AB19" s="6" t="n"/>
    </row>
    <row r="20" ht="15" customHeight="1" s="92">
      <c r="A20" s="47" t="inlineStr">
        <is>
          <t>Налоги прочее</t>
        </is>
      </c>
      <c r="B20" s="111">
        <f>ROUND(MAX(Параметры!$B$64*((B3+B6+B9)-(B17+B18+B19+B21+B26+B34+B38+B42)),Параметры!$B$65*(B3+B6+B9)),0)</f>
        <v/>
      </c>
      <c r="C20" s="111">
        <f>ROUND(MAX(Параметры!$B$64*((C3+C6+C9)-(C17+C18+C19+C21+C26+C34+C38+C42)),Параметры!$B$65*(C3+C6+C9)),0)</f>
        <v/>
      </c>
      <c r="D20" s="111">
        <f>ROUND(MAX(Параметры!$B$64*((D3+D6+D9)-(D17+D18+D19+D21+D26+D34+D38+D42)),Параметры!$B$65*(D3+D6+D9)),0)</f>
        <v/>
      </c>
      <c r="E20" s="111">
        <f>ROUND(MAX(Параметры!$B$64*((E3+E6+E9)-(E17+E18+E19+E21+E26+E34+E38+E42)),Параметры!$B$65*(E3+E6+E9)),0)</f>
        <v/>
      </c>
      <c r="F20" s="111">
        <f>ROUND(MAX(Параметры!$B$64*((F3+F6+F9)-(F17+F18+F19+F21+F26+F34+F38+F42)),Параметры!$B$65*(F3+F6+F9)),0)</f>
        <v/>
      </c>
      <c r="G20" s="111">
        <f>ROUND(MAX(Параметры!$B$64*((G3+G6+G9)-(G17+G18+G19+G21+G26+G34+G38+G42)),Параметры!$B$65*(G3+G6+G9)),0)</f>
        <v/>
      </c>
      <c r="H20" s="111">
        <f>ROUND(MAX(Параметры!$B$64*((H3+H6+H9)-(H17+H18+H19+H21+H26+H34+H38+H42)),Параметры!$B$65*(H3+H6+H9)),0)</f>
        <v/>
      </c>
      <c r="I20" s="111">
        <f>ROUND(MAX(Параметры!$B$64*((I3+I6+I9)-(I17+I18+I19+I21+I26+I34+I38+I42)),Параметры!$B$65*(I3+I6+I9)),0)</f>
        <v/>
      </c>
      <c r="J20" s="111">
        <f>ROUND(MAX(Параметры!$B$64*((J3+J6+J9)-(J17+J18+J19+J21+J26+J34+J38+J42)),Параметры!$B$65*(J3+J6+J9)),0)</f>
        <v/>
      </c>
      <c r="K20" s="111">
        <f>ROUND(MAX(Параметры!$B$64*((K3+K6+K9)-(K17+K18+K19+K21+K26+K34+K38+K42)),Параметры!$B$65*(K3+K6+K9)),0)</f>
        <v/>
      </c>
      <c r="L20" s="111">
        <f>ROUND(MAX(Параметры!$B$64*((L3+L6+L9)-(L17+L18+L19+L21+L26+L34+L38+L42)),Параметры!$B$65*(L3+L6+L9)),0)</f>
        <v/>
      </c>
      <c r="M20" s="111">
        <f>ROUND(MAX(Параметры!$B$64*((M3+M6+M9)-(M17+M18+M19+M21+M26+M34+M38+M42)),Параметры!$B$65*(M3+M6+M9)),0)</f>
        <v/>
      </c>
      <c r="N20" s="111">
        <f>ROUND(MAX(Параметры!$B$64*((N3+N6+N9)-(N17+N18+N19+N21+N26+N34+N38+N42)),Параметры!$B$65*(N3+N6+N9)),0)</f>
        <v/>
      </c>
      <c r="O20" s="111">
        <f>ROUND(MAX(Параметры!$B$64*((O3+O6+O9)-(O17+O18+O19+O21+O26+O34+O38+O42)),Параметры!$B$65*(O3+O6+O9)),0)</f>
        <v/>
      </c>
      <c r="P20" s="111">
        <f>ROUND(MAX(Параметры!$B$64*((P3+P6+P9)-(P17+P18+P19+P21+P26+P34+P38+P42)),Параметры!$B$65*(P3+P6+P9)),0)</f>
        <v/>
      </c>
      <c r="Q20" s="111">
        <f>ROUND(MAX(Параметры!$B$64*((Q3+Q6+Q9)-(Q17+Q18+Q19+Q21+Q26+Q34+Q38+Q42)),Параметры!$B$65*(Q3+Q6+Q9)),0)</f>
        <v/>
      </c>
      <c r="R20" s="111">
        <f>ROUND(MAX(Параметры!$B$64*((R3+R6+R9)-(R17+R18+R19+R21+R26+R34+R38+R42)),Параметры!$B$65*(R3+R6+R9)),0)</f>
        <v/>
      </c>
      <c r="S20" s="111">
        <f>ROUND(MAX(Параметры!$B$64*((S3+S6+S9)-(S17+S18+S19+S21+S26+S34+S38+S42)),Параметры!$B$65*(S3+S6+S9)),0)</f>
        <v/>
      </c>
      <c r="T20" s="111">
        <f>ROUND(MAX(Параметры!$B$64*((T3+T6+T9)-(T17+T18+T19+T21+T26+T34+T38+T42)),Параметры!$B$65*(T3+T6+T9)),0)</f>
        <v/>
      </c>
      <c r="U20" s="111">
        <f>ROUND(MAX(Параметры!$B$64*((U3+U6+U9)-(U17+U18+U19+U21+U26+U34+U38+U42)),Параметры!$B$65*(U3+U6+U9)),0)</f>
        <v/>
      </c>
      <c r="V20" s="111">
        <f>ROUND(MAX(Параметры!$B$64*((V3+V6+V9)-(V17+V18+V19+V21+V26+V34+V38+V42)),Параметры!$B$65*(V3+V6+V9)),0)</f>
        <v/>
      </c>
      <c r="W20" s="111">
        <f>ROUND(MAX(Параметры!$B$64*((W3+W6+W9)-(W17+W18+W19+W21+W26+W34+W38+W42)),Параметры!$B$65*(W3+W6+W9)),0)</f>
        <v/>
      </c>
      <c r="X20" s="111">
        <f>ROUND(MAX(Параметры!$B$64*((X3+X6+X9)-(X17+X18+X19+X21+X26+X34+X38+X42)),Параметры!$B$65*(X3+X6+X9)),0)</f>
        <v/>
      </c>
      <c r="Y20" s="111">
        <f>ROUND(MAX(Параметры!$B$64*((Y3+Y6+Y9)-(Y17+Y18+Y19+Y21+Y26+Y34+Y38+Y42)),Параметры!$B$65*(Y3+Y6+Y9)),0)</f>
        <v/>
      </c>
      <c r="Z20" s="112">
        <f>SUM(B20:Y20)</f>
        <v/>
      </c>
      <c r="AA20" s="6" t="n"/>
      <c r="AB20" s="6" t="n"/>
    </row>
    <row r="21" ht="15" customHeight="1" s="92">
      <c r="A21" s="47" t="inlineStr">
        <is>
          <t>Эквайринг и комиссии маркетплейсов</t>
        </is>
      </c>
      <c r="B21" s="111">
        <f>ROUND((B3+B6)*Параметры!$B$54,0)</f>
        <v/>
      </c>
      <c r="C21" s="111">
        <f>ROUND((C3+C6)*Параметры!$B$54,0)</f>
        <v/>
      </c>
      <c r="D21" s="111">
        <f>ROUND((D3+D6)*Параметры!$B$54,0)</f>
        <v/>
      </c>
      <c r="E21" s="111">
        <f>ROUND((E3+E6)*Параметры!$B$54,0)</f>
        <v/>
      </c>
      <c r="F21" s="111">
        <f>ROUND((F3+F6)*Параметры!$B$54,0)</f>
        <v/>
      </c>
      <c r="G21" s="111">
        <f>ROUND((G3+G6)*Параметры!$B$54,0)</f>
        <v/>
      </c>
      <c r="H21" s="111">
        <f>ROUND((H3+H6)*Параметры!$B$54,0)</f>
        <v/>
      </c>
      <c r="I21" s="111">
        <f>ROUND((I3+I6)*Параметры!$B$54,0)</f>
        <v/>
      </c>
      <c r="J21" s="111">
        <f>ROUND((J3+J6)*Параметры!$B$54,0)</f>
        <v/>
      </c>
      <c r="K21" s="111">
        <f>ROUND((K3+K6)*Параметры!$B$54,0)</f>
        <v/>
      </c>
      <c r="L21" s="111">
        <f>ROUND((L3+L6)*Параметры!$B$54,0)</f>
        <v/>
      </c>
      <c r="M21" s="111">
        <f>ROUND((M3+M6)*Параметры!$B$54,0)</f>
        <v/>
      </c>
      <c r="N21" s="111">
        <f>ROUND((N3+N6)*Параметры!$B$54,0)</f>
        <v/>
      </c>
      <c r="O21" s="111">
        <f>ROUND((O3+O6)*Параметры!$B$54,0)</f>
        <v/>
      </c>
      <c r="P21" s="111">
        <f>ROUND((P3+P6)*Параметры!$B$54,0)</f>
        <v/>
      </c>
      <c r="Q21" s="111">
        <f>ROUND((Q3+Q6)*Параметры!$B$54,0)</f>
        <v/>
      </c>
      <c r="R21" s="111">
        <f>ROUND((R3+R6)*Параметры!$B$54,0)</f>
        <v/>
      </c>
      <c r="S21" s="111">
        <f>ROUND((S3+S6)*Параметры!$B$54,0)</f>
        <v/>
      </c>
      <c r="T21" s="111">
        <f>ROUND((T3+T6)*Параметры!$B$54,0)</f>
        <v/>
      </c>
      <c r="U21" s="111">
        <f>ROUND((U3+U6)*Параметры!$B$54,0)</f>
        <v/>
      </c>
      <c r="V21" s="111">
        <f>ROUND((V3+V6)*Параметры!$B$54,0)</f>
        <v/>
      </c>
      <c r="W21" s="111">
        <f>ROUND((W3+W6)*Параметры!$B$54,0)</f>
        <v/>
      </c>
      <c r="X21" s="111">
        <f>ROUND((X3+X6)*Параметры!$B$54,0)</f>
        <v/>
      </c>
      <c r="Y21" s="111">
        <f>ROUND((Y3+Y6)*Параметры!$B$54,0)</f>
        <v/>
      </c>
      <c r="Z21" s="112">
        <f>SUM(B21:Y21)</f>
        <v/>
      </c>
      <c r="AA21" s="6" t="n"/>
      <c r="AB21" s="6" t="n"/>
    </row>
    <row r="22" ht="15" customHeight="1" s="92">
      <c r="A22" s="50" t="inlineStr">
        <is>
          <t>ИТОГО расходы на бухгалтерию</t>
        </is>
      </c>
      <c r="B22" s="51">
        <f>SUM(B18:B21)</f>
        <v/>
      </c>
      <c r="C22" s="51">
        <f>SUM(C18:C21)</f>
        <v/>
      </c>
      <c r="D22" s="51">
        <f>SUM(D18:D21)</f>
        <v/>
      </c>
      <c r="E22" s="51">
        <f>SUM(E18:E21)</f>
        <v/>
      </c>
      <c r="F22" s="51">
        <f>SUM(F18:F21)</f>
        <v/>
      </c>
      <c r="G22" s="51">
        <f>SUM(G18:G21)</f>
        <v/>
      </c>
      <c r="H22" s="51">
        <f>SUM(H18:H21)</f>
        <v/>
      </c>
      <c r="I22" s="51">
        <f>SUM(I18:I21)</f>
        <v/>
      </c>
      <c r="J22" s="51">
        <f>SUM(J18:J21)</f>
        <v/>
      </c>
      <c r="K22" s="51">
        <f>SUM(K18:K21)</f>
        <v/>
      </c>
      <c r="L22" s="51">
        <f>SUM(L18:L21)</f>
        <v/>
      </c>
      <c r="M22" s="51">
        <f>SUM(M18:M21)</f>
        <v/>
      </c>
      <c r="N22" s="51">
        <f>SUM(N18:N21)</f>
        <v/>
      </c>
      <c r="O22" s="51">
        <f>SUM(O18:O21)</f>
        <v/>
      </c>
      <c r="P22" s="51">
        <f>SUM(P18:P21)</f>
        <v/>
      </c>
      <c r="Q22" s="51">
        <f>SUM(Q18:Q21)</f>
        <v/>
      </c>
      <c r="R22" s="51">
        <f>SUM(R18:R21)</f>
        <v/>
      </c>
      <c r="S22" s="51">
        <f>SUM(S18:S21)</f>
        <v/>
      </c>
      <c r="T22" s="51">
        <f>SUM(T18:T21)</f>
        <v/>
      </c>
      <c r="U22" s="51">
        <f>SUM(U18:U21)</f>
        <v/>
      </c>
      <c r="V22" s="51">
        <f>SUM(V18:V21)</f>
        <v/>
      </c>
      <c r="W22" s="51">
        <f>SUM(W18:W21)</f>
        <v/>
      </c>
      <c r="X22" s="51">
        <f>SUM(X18:X21)</f>
        <v/>
      </c>
      <c r="Y22" s="51">
        <f>SUM(Y18:Y21)</f>
        <v/>
      </c>
      <c r="Z22" s="49">
        <f>SUM(B22:Y22)</f>
        <v/>
      </c>
      <c r="AA22" s="6" t="n"/>
      <c r="AB22" s="6" t="n"/>
    </row>
    <row r="23" ht="15" customHeight="1" s="92">
      <c r="A23" s="55" t="inlineStr">
        <is>
          <t>Реклама интернет (performance, таргет, блогеры)</t>
        </is>
      </c>
      <c r="B23" s="113">
        <f>ROUND(MAX(Параметры!$B$44,(B3+B6+B9)*Параметры!$B$43),0)</f>
        <v/>
      </c>
      <c r="C23" s="113">
        <f>ROUND(MAX(Параметры!$B$44,(C3+C6+C9)*Параметры!$B$43),0)</f>
        <v/>
      </c>
      <c r="D23" s="113">
        <f>ROUND(MAX(Параметры!$B$44,(D3+D6+D9)*Параметры!$B$43),0)</f>
        <v/>
      </c>
      <c r="E23" s="113">
        <f>ROUND(MAX(Параметры!$B$44,(E3+E6+E9)*Параметры!$B$43),0)</f>
        <v/>
      </c>
      <c r="F23" s="113">
        <f>ROUND(MAX(Параметры!$B$44,(F3+F6+F9)*Параметры!$B$43),0)</f>
        <v/>
      </c>
      <c r="G23" s="113">
        <f>ROUND(MAX(Параметры!$B$44,(G3+G6+G9)*Параметры!$B$43),0)</f>
        <v/>
      </c>
      <c r="H23" s="113">
        <f>ROUND(MAX(Параметры!$B$44,(H3+H6+H9)*Параметры!$B$43),0)</f>
        <v/>
      </c>
      <c r="I23" s="113">
        <f>ROUND(MAX(Параметры!$B$44,(I3+I6+I9)*Параметры!$B$43),0)</f>
        <v/>
      </c>
      <c r="J23" s="113">
        <f>ROUND(MAX(Параметры!$B$44,(J3+J6+J9)*Параметры!$B$43),0)</f>
        <v/>
      </c>
      <c r="K23" s="113">
        <f>ROUND(MAX(Параметры!$B$44,(K3+K6+K9)*Параметры!$B$43),0)</f>
        <v/>
      </c>
      <c r="L23" s="113">
        <f>ROUND(MAX(Параметры!$B$44,(L3+L6+L9)*Параметры!$B$43),0)</f>
        <v/>
      </c>
      <c r="M23" s="113">
        <f>ROUND(MAX(Параметры!$B$44,(M3+M6+M9)*Параметры!$B$43),0)</f>
        <v/>
      </c>
      <c r="N23" s="113">
        <f>ROUND(MAX(Параметры!$B$44,(N3+N6+N9)*Параметры!$B$43),0)</f>
        <v/>
      </c>
      <c r="O23" s="113">
        <f>ROUND(MAX(Параметры!$B$44,(O3+O6+O9)*Параметры!$B$43),0)</f>
        <v/>
      </c>
      <c r="P23" s="113">
        <f>ROUND(MAX(Параметры!$B$44,(P3+P6+P9)*Параметры!$B$43),0)</f>
        <v/>
      </c>
      <c r="Q23" s="113">
        <f>ROUND(MAX(Параметры!$B$44,(Q3+Q6+Q9)*Параметры!$B$43),0)</f>
        <v/>
      </c>
      <c r="R23" s="113">
        <f>ROUND(MAX(Параметры!$B$44,(R3+R6+R9)*Параметры!$B$43),0)</f>
        <v/>
      </c>
      <c r="S23" s="113">
        <f>ROUND(MAX(Параметры!$B$44,(S3+S6+S9)*Параметры!$B$43),0)</f>
        <v/>
      </c>
      <c r="T23" s="113">
        <f>ROUND(MAX(Параметры!$B$44,(T3+T6+T9)*Параметры!$B$43),0)</f>
        <v/>
      </c>
      <c r="U23" s="113">
        <f>ROUND(MAX(Параметры!$B$44,(U3+U6+U9)*Параметры!$B$43),0)</f>
        <v/>
      </c>
      <c r="V23" s="113">
        <f>ROUND(MAX(Параметры!$B$44,(V3+V6+V9)*Параметры!$B$43),0)</f>
        <v/>
      </c>
      <c r="W23" s="113">
        <f>ROUND(MAX(Параметры!$B$44,(W3+W6+W9)*Параметры!$B$43),0)</f>
        <v/>
      </c>
      <c r="X23" s="113">
        <f>ROUND(MAX(Параметры!$B$44,(X3+X6+X9)*Параметры!$B$43),0)</f>
        <v/>
      </c>
      <c r="Y23" s="113">
        <f>ROUND(MAX(Параметры!$B$44,(Y3+Y6+Y9)*Параметры!$B$43),0)</f>
        <v/>
      </c>
      <c r="Z23" s="114">
        <f>SUM(B23:Y23)</f>
        <v/>
      </c>
      <c r="AA23" s="6" t="n"/>
      <c r="AB23" s="6" t="n"/>
    </row>
    <row r="24" ht="15" customHeight="1" s="92">
      <c r="A24" s="55" t="inlineStr">
        <is>
          <t>Реклама оффлайн (забеги, спортклубы, амбассадоры)</t>
        </is>
      </c>
      <c r="B24" s="113">
        <f>IF(B$48&lt;Параметры!$B$46,0,Параметры!$B$45)</f>
        <v/>
      </c>
      <c r="C24" s="113">
        <f>IF(C$48&lt;Параметры!$B$46,0,Параметры!$B$45)</f>
        <v/>
      </c>
      <c r="D24" s="113">
        <f>IF(D$48&lt;Параметры!$B$46,0,Параметры!$B$45)</f>
        <v/>
      </c>
      <c r="E24" s="113">
        <f>IF(E$48&lt;Параметры!$B$46,0,Параметры!$B$45)</f>
        <v/>
      </c>
      <c r="F24" s="113">
        <f>IF(F$48&lt;Параметры!$B$46,0,Параметры!$B$45)</f>
        <v/>
      </c>
      <c r="G24" s="113">
        <f>IF(G$48&lt;Параметры!$B$46,0,Параметры!$B$45)</f>
        <v/>
      </c>
      <c r="H24" s="113">
        <f>IF(H$48&lt;Параметры!$B$46,0,Параметры!$B$45)</f>
        <v/>
      </c>
      <c r="I24" s="113">
        <f>IF(I$48&lt;Параметры!$B$46,0,Параметры!$B$45)</f>
        <v/>
      </c>
      <c r="J24" s="113">
        <f>IF(J$48&lt;Параметры!$B$46,0,Параметры!$B$45)</f>
        <v/>
      </c>
      <c r="K24" s="113">
        <f>IF(K$48&lt;Параметры!$B$46,0,Параметры!$B$45)</f>
        <v/>
      </c>
      <c r="L24" s="113">
        <f>IF(L$48&lt;Параметры!$B$46,0,Параметры!$B$45)</f>
        <v/>
      </c>
      <c r="M24" s="113">
        <f>IF(M$48&lt;Параметры!$B$46,0,Параметры!$B$45)</f>
        <v/>
      </c>
      <c r="N24" s="113">
        <f>IF(N$48&lt;Параметры!$B$46,0,Параметры!$B$45)</f>
        <v/>
      </c>
      <c r="O24" s="113">
        <f>IF(O$48&lt;Параметры!$B$46,0,Параметры!$B$45)</f>
        <v/>
      </c>
      <c r="P24" s="113">
        <f>IF(P$48&lt;Параметры!$B$46,0,Параметры!$B$45)</f>
        <v/>
      </c>
      <c r="Q24" s="113">
        <f>IF(Q$48&lt;Параметры!$B$46,0,Параметры!$B$45)</f>
        <v/>
      </c>
      <c r="R24" s="113">
        <f>IF(R$48&lt;Параметры!$B$46,0,Параметры!$B$45)</f>
        <v/>
      </c>
      <c r="S24" s="113">
        <f>IF(S$48&lt;Параметры!$B$46,0,Параметры!$B$45)</f>
        <v/>
      </c>
      <c r="T24" s="113">
        <f>IF(T$48&lt;Параметры!$B$46,0,Параметры!$B$45)</f>
        <v/>
      </c>
      <c r="U24" s="113">
        <f>IF(U$48&lt;Параметры!$B$46,0,Параметры!$B$45)</f>
        <v/>
      </c>
      <c r="V24" s="113">
        <f>IF(V$48&lt;Параметры!$B$46,0,Параметры!$B$45)</f>
        <v/>
      </c>
      <c r="W24" s="113">
        <f>IF(W$48&lt;Параметры!$B$46,0,Параметры!$B$45)</f>
        <v/>
      </c>
      <c r="X24" s="113">
        <f>IF(X$48&lt;Параметры!$B$46,0,Параметры!$B$45)</f>
        <v/>
      </c>
      <c r="Y24" s="113">
        <f>IF(Y$48&lt;Параметры!$B$46,0,Параметры!$B$45)</f>
        <v/>
      </c>
      <c r="Z24" s="114">
        <f>SUM(B24:Y24)</f>
        <v/>
      </c>
      <c r="AA24" s="6" t="n"/>
      <c r="AB24" s="6" t="n"/>
    </row>
    <row r="25" ht="15" customHeight="1" s="92">
      <c r="A25" s="55" t="inlineStr">
        <is>
          <t>SЕО Продвижение</t>
        </is>
      </c>
      <c r="B25" s="113">
        <f>IF(B$48&lt;Параметры!$B$48,0,Параметры!$B$47)</f>
        <v/>
      </c>
      <c r="C25" s="113">
        <f>IF(C$48&lt;Параметры!$B$48,0,Параметры!$B$47)</f>
        <v/>
      </c>
      <c r="D25" s="113">
        <f>IF(D$48&lt;Параметры!$B$48,0,Параметры!$B$47)</f>
        <v/>
      </c>
      <c r="E25" s="113">
        <f>IF(E$48&lt;Параметры!$B$48,0,Параметры!$B$47)</f>
        <v/>
      </c>
      <c r="F25" s="113">
        <f>IF(F$48&lt;Параметры!$B$48,0,Параметры!$B$47)</f>
        <v/>
      </c>
      <c r="G25" s="113">
        <f>IF(G$48&lt;Параметры!$B$48,0,Параметры!$B$47)</f>
        <v/>
      </c>
      <c r="H25" s="113">
        <f>IF(H$48&lt;Параметры!$B$48,0,Параметры!$B$47)</f>
        <v/>
      </c>
      <c r="I25" s="113">
        <f>IF(I$48&lt;Параметры!$B$48,0,Параметры!$B$47)</f>
        <v/>
      </c>
      <c r="J25" s="113">
        <f>IF(J$48&lt;Параметры!$B$48,0,Параметры!$B$47)</f>
        <v/>
      </c>
      <c r="K25" s="113">
        <f>IF(K$48&lt;Параметры!$B$48,0,Параметры!$B$47)</f>
        <v/>
      </c>
      <c r="L25" s="113">
        <f>IF(L$48&lt;Параметры!$B$48,0,Параметры!$B$47)</f>
        <v/>
      </c>
      <c r="M25" s="113">
        <f>IF(M$48&lt;Параметры!$B$48,0,Параметры!$B$47)</f>
        <v/>
      </c>
      <c r="N25" s="113">
        <f>IF(N$48&lt;Параметры!$B$48,0,Параметры!$B$47)</f>
        <v/>
      </c>
      <c r="O25" s="113">
        <f>IF(O$48&lt;Параметры!$B$48,0,Параметры!$B$47)</f>
        <v/>
      </c>
      <c r="P25" s="113">
        <f>IF(P$48&lt;Параметры!$B$48,0,Параметры!$B$47)</f>
        <v/>
      </c>
      <c r="Q25" s="113">
        <f>IF(Q$48&lt;Параметры!$B$48,0,Параметры!$B$47)</f>
        <v/>
      </c>
      <c r="R25" s="113">
        <f>IF(R$48&lt;Параметры!$B$48,0,Параметры!$B$47)</f>
        <v/>
      </c>
      <c r="S25" s="113">
        <f>IF(S$48&lt;Параметры!$B$48,0,Параметры!$B$47)</f>
        <v/>
      </c>
      <c r="T25" s="113">
        <f>IF(T$48&lt;Параметры!$B$48,0,Параметры!$B$47)</f>
        <v/>
      </c>
      <c r="U25" s="113">
        <f>IF(U$48&lt;Параметры!$B$48,0,Параметры!$B$47)</f>
        <v/>
      </c>
      <c r="V25" s="113">
        <f>IF(V$48&lt;Параметры!$B$48,0,Параметры!$B$47)</f>
        <v/>
      </c>
      <c r="W25" s="113">
        <f>IF(W$48&lt;Параметры!$B$48,0,Параметры!$B$47)</f>
        <v/>
      </c>
      <c r="X25" s="113">
        <f>IF(X$48&lt;Параметры!$B$48,0,Параметры!$B$47)</f>
        <v/>
      </c>
      <c r="Y25" s="113">
        <f>IF(Y$48&lt;Параметры!$B$48,0,Параметры!$B$47)</f>
        <v/>
      </c>
      <c r="Z25" s="114">
        <f>SUM(B25:Y25)</f>
        <v/>
      </c>
      <c r="AA25" s="6" t="n"/>
      <c r="AB25" s="6" t="n"/>
    </row>
    <row r="26" ht="15" customHeight="1" s="92">
      <c r="A26" s="56" t="inlineStr">
        <is>
          <t>ИТОГО расходы на рекламу</t>
        </is>
      </c>
      <c r="B26" s="57">
        <f>SUM(B23:B25)</f>
        <v/>
      </c>
      <c r="C26" s="57">
        <f>SUM(C23:C25)</f>
        <v/>
      </c>
      <c r="D26" s="57">
        <f>SUM(D23:D25)</f>
        <v/>
      </c>
      <c r="E26" s="57">
        <f>SUM(E23:E25)</f>
        <v/>
      </c>
      <c r="F26" s="57">
        <f>SUM(F23:F25)</f>
        <v/>
      </c>
      <c r="G26" s="57">
        <f>SUM(G23:G25)</f>
        <v/>
      </c>
      <c r="H26" s="57">
        <f>SUM(H23:H25)</f>
        <v/>
      </c>
      <c r="I26" s="57">
        <f>SUM(I23:I25)</f>
        <v/>
      </c>
      <c r="J26" s="57">
        <f>SUM(J23:J25)</f>
        <v/>
      </c>
      <c r="K26" s="57">
        <f>SUM(K23:K25)</f>
        <v/>
      </c>
      <c r="L26" s="57">
        <f>SUM(L23:L25)</f>
        <v/>
      </c>
      <c r="M26" s="57">
        <f>SUM(M23:M25)</f>
        <v/>
      </c>
      <c r="N26" s="57">
        <f>SUM(N23:N25)</f>
        <v/>
      </c>
      <c r="O26" s="57">
        <f>SUM(O23:O25)</f>
        <v/>
      </c>
      <c r="P26" s="57">
        <f>SUM(P23:P25)</f>
        <v/>
      </c>
      <c r="Q26" s="57">
        <f>SUM(Q23:Q25)</f>
        <v/>
      </c>
      <c r="R26" s="57">
        <f>SUM(R23:R25)</f>
        <v/>
      </c>
      <c r="S26" s="57">
        <f>SUM(S23:S25)</f>
        <v/>
      </c>
      <c r="T26" s="57">
        <f>SUM(T23:T25)</f>
        <v/>
      </c>
      <c r="U26" s="57">
        <f>SUM(U23:U25)</f>
        <v/>
      </c>
      <c r="V26" s="57">
        <f>SUM(V23:V25)</f>
        <v/>
      </c>
      <c r="W26" s="57">
        <f>SUM(W23:W25)</f>
        <v/>
      </c>
      <c r="X26" s="57">
        <f>SUM(X23:X25)</f>
        <v/>
      </c>
      <c r="Y26" s="57">
        <f>SUM(Y23:Y25)</f>
        <v/>
      </c>
      <c r="Z26" s="54">
        <f>SUM(B26:Y26)</f>
        <v/>
      </c>
      <c r="AA26" s="6" t="n"/>
      <c r="AB26" s="6" t="n"/>
    </row>
    <row r="27" ht="15" customHeight="1" s="92">
      <c r="A27" s="61" t="inlineStr">
        <is>
          <t>Зп менеджер по продажам 1 (%)</t>
        </is>
      </c>
      <c r="B27" s="115">
        <f>IF(B$48&lt;Параметры!$B$30,0,ROUND((B3+B6+B9)*Параметры!$B$29,0))</f>
        <v/>
      </c>
      <c r="C27" s="115">
        <f>IF(C$48&lt;Параметры!$B$30,0,ROUND((C3+C6+C9)*Параметры!$B$29,0))</f>
        <v/>
      </c>
      <c r="D27" s="115">
        <f>IF(D$48&lt;Параметры!$B$30,0,ROUND((D3+D6+D9)*Параметры!$B$29,0))</f>
        <v/>
      </c>
      <c r="E27" s="115">
        <f>IF(E$48&lt;Параметры!$B$30,0,ROUND((E3+E6+E9)*Параметры!$B$29,0))</f>
        <v/>
      </c>
      <c r="F27" s="115">
        <f>IF(F$48&lt;Параметры!$B$30,0,ROUND((F3+F6+F9)*Параметры!$B$29,0))</f>
        <v/>
      </c>
      <c r="G27" s="115">
        <f>IF(G$48&lt;Параметры!$B$30,0,ROUND((G3+G6+G9)*Параметры!$B$29,0))</f>
        <v/>
      </c>
      <c r="H27" s="115">
        <f>IF(H$48&lt;Параметры!$B$30,0,ROUND((H3+H6+H9)*Параметры!$B$29,0))</f>
        <v/>
      </c>
      <c r="I27" s="115">
        <f>IF(I$48&lt;Параметры!$B$30,0,ROUND((I3+I6+I9)*Параметры!$B$29,0))</f>
        <v/>
      </c>
      <c r="J27" s="115">
        <f>IF(J$48&lt;Параметры!$B$30,0,ROUND((J3+J6+J9)*Параметры!$B$29,0))</f>
        <v/>
      </c>
      <c r="K27" s="115">
        <f>IF(K$48&lt;Параметры!$B$30,0,ROUND((K3+K6+K9)*Параметры!$B$29,0))</f>
        <v/>
      </c>
      <c r="L27" s="115">
        <f>IF(L$48&lt;Параметры!$B$30,0,ROUND((L3+L6+L9)*Параметры!$B$29,0))</f>
        <v/>
      </c>
      <c r="M27" s="115">
        <f>IF(M$48&lt;Параметры!$B$30,0,ROUND((M3+M6+M9)*Параметры!$B$29,0))</f>
        <v/>
      </c>
      <c r="N27" s="115">
        <f>IF(N$48&lt;Параметры!$B$30,0,ROUND((N3+N6+N9)*Параметры!$B$29,0))</f>
        <v/>
      </c>
      <c r="O27" s="115">
        <f>IF(O$48&lt;Параметры!$B$30,0,ROUND((O3+O6+O9)*Параметры!$B$29,0))</f>
        <v/>
      </c>
      <c r="P27" s="115">
        <f>IF(P$48&lt;Параметры!$B$30,0,ROUND((P3+P6+P9)*Параметры!$B$29,0))</f>
        <v/>
      </c>
      <c r="Q27" s="115">
        <f>IF(Q$48&lt;Параметры!$B$30,0,ROUND((Q3+Q6+Q9)*Параметры!$B$29,0))</f>
        <v/>
      </c>
      <c r="R27" s="115">
        <f>IF(R$48&lt;Параметры!$B$30,0,ROUND((R3+R6+R9)*Параметры!$B$29,0))</f>
        <v/>
      </c>
      <c r="S27" s="115">
        <f>IF(S$48&lt;Параметры!$B$30,0,ROUND((S3+S6+S9)*Параметры!$B$29,0))</f>
        <v/>
      </c>
      <c r="T27" s="115">
        <f>IF(T$48&lt;Параметры!$B$30,0,ROUND((T3+T6+T9)*Параметры!$B$29,0))</f>
        <v/>
      </c>
      <c r="U27" s="115">
        <f>IF(U$48&lt;Параметры!$B$30,0,ROUND((U3+U6+U9)*Параметры!$B$29,0))</f>
        <v/>
      </c>
      <c r="V27" s="115">
        <f>IF(V$48&lt;Параметры!$B$30,0,ROUND((V3+V6+V9)*Параметры!$B$29,0))</f>
        <v/>
      </c>
      <c r="W27" s="115">
        <f>IF(W$48&lt;Параметры!$B$30,0,ROUND((W3+W6+W9)*Параметры!$B$29,0))</f>
        <v/>
      </c>
      <c r="X27" s="115">
        <f>IF(X$48&lt;Параметры!$B$30,0,ROUND((X3+X6+X9)*Параметры!$B$29,0))</f>
        <v/>
      </c>
      <c r="Y27" s="115">
        <f>IF(Y$48&lt;Параметры!$B$30,0,ROUND((Y3+Y6+Y9)*Параметры!$B$29,0))</f>
        <v/>
      </c>
      <c r="Z27" s="116">
        <f>SUM(B27:Y27)</f>
        <v/>
      </c>
      <c r="AA27" s="6" t="n"/>
      <c r="AB27" s="6" t="n"/>
    </row>
    <row r="28" ht="15" customHeight="1" s="92">
      <c r="A28" s="61" t="inlineStr">
        <is>
          <t>Зп менеджер по продажам 2 (%)</t>
        </is>
      </c>
      <c r="B28" s="115">
        <f>IF(B$48&lt;Параметры!$B$38,0,ROUND((B3+B6+B9)*Параметры!$B$37,0))</f>
        <v/>
      </c>
      <c r="C28" s="115">
        <f>IF(C$48&lt;Параметры!$B$38,0,ROUND((C3+C6+C9)*Параметры!$B$37,0))</f>
        <v/>
      </c>
      <c r="D28" s="115">
        <f>IF(D$48&lt;Параметры!$B$38,0,ROUND((D3+D6+D9)*Параметры!$B$37,0))</f>
        <v/>
      </c>
      <c r="E28" s="115">
        <f>IF(E$48&lt;Параметры!$B$38,0,ROUND((E3+E6+E9)*Параметры!$B$37,0))</f>
        <v/>
      </c>
      <c r="F28" s="115">
        <f>IF(F$48&lt;Параметры!$B$38,0,ROUND((F3+F6+F9)*Параметры!$B$37,0))</f>
        <v/>
      </c>
      <c r="G28" s="115">
        <f>IF(G$48&lt;Параметры!$B$38,0,ROUND((G3+G6+G9)*Параметры!$B$37,0))</f>
        <v/>
      </c>
      <c r="H28" s="115">
        <f>IF(H$48&lt;Параметры!$B$38,0,ROUND((H3+H6+H9)*Параметры!$B$37,0))</f>
        <v/>
      </c>
      <c r="I28" s="115">
        <f>IF(I$48&lt;Параметры!$B$38,0,ROUND((I3+I6+I9)*Параметры!$B$37,0))</f>
        <v/>
      </c>
      <c r="J28" s="115">
        <f>IF(J$48&lt;Параметры!$B$38,0,ROUND((J3+J6+J9)*Параметры!$B$37,0))</f>
        <v/>
      </c>
      <c r="K28" s="115">
        <f>IF(K$48&lt;Параметры!$B$38,0,ROUND((K3+K6+K9)*Параметры!$B$37,0))</f>
        <v/>
      </c>
      <c r="L28" s="115">
        <f>IF(L$48&lt;Параметры!$B$38,0,ROUND((L3+L6+L9)*Параметры!$B$37,0))</f>
        <v/>
      </c>
      <c r="M28" s="115">
        <f>IF(M$48&lt;Параметры!$B$38,0,ROUND((M3+M6+M9)*Параметры!$B$37,0))</f>
        <v/>
      </c>
      <c r="N28" s="115">
        <f>IF(N$48&lt;Параметры!$B$38,0,ROUND((N3+N6+N9)*Параметры!$B$37,0))</f>
        <v/>
      </c>
      <c r="O28" s="115">
        <f>IF(O$48&lt;Параметры!$B$38,0,ROUND((O3+O6+O9)*Параметры!$B$37,0))</f>
        <v/>
      </c>
      <c r="P28" s="115">
        <f>IF(P$48&lt;Параметры!$B$38,0,ROUND((P3+P6+P9)*Параметры!$B$37,0))</f>
        <v/>
      </c>
      <c r="Q28" s="115">
        <f>IF(Q$48&lt;Параметры!$B$38,0,ROUND((Q3+Q6+Q9)*Параметры!$B$37,0))</f>
        <v/>
      </c>
      <c r="R28" s="115">
        <f>IF(R$48&lt;Параметры!$B$38,0,ROUND((R3+R6+R9)*Параметры!$B$37,0))</f>
        <v/>
      </c>
      <c r="S28" s="115">
        <f>IF(S$48&lt;Параметры!$B$38,0,ROUND((S3+S6+S9)*Параметры!$B$37,0))</f>
        <v/>
      </c>
      <c r="T28" s="115">
        <f>IF(T$48&lt;Параметры!$B$38,0,ROUND((T3+T6+T9)*Параметры!$B$37,0))</f>
        <v/>
      </c>
      <c r="U28" s="115">
        <f>IF(U$48&lt;Параметры!$B$38,0,ROUND((U3+U6+U9)*Параметры!$B$37,0))</f>
        <v/>
      </c>
      <c r="V28" s="115">
        <f>IF(V$48&lt;Параметры!$B$38,0,ROUND((V3+V6+V9)*Параметры!$B$37,0))</f>
        <v/>
      </c>
      <c r="W28" s="115">
        <f>IF(W$48&lt;Параметры!$B$38,0,ROUND((W3+W6+W9)*Параметры!$B$37,0))</f>
        <v/>
      </c>
      <c r="X28" s="115">
        <f>IF(X$48&lt;Параметры!$B$38,0,ROUND((X3+X6+X9)*Параметры!$B$37,0))</f>
        <v/>
      </c>
      <c r="Y28" s="115">
        <f>IF(Y$48&lt;Параметры!$B$38,0,ROUND((Y3+Y6+Y9)*Параметры!$B$37,0))</f>
        <v/>
      </c>
      <c r="Z28" s="116">
        <f>SUM(B28:Y28)</f>
        <v/>
      </c>
      <c r="AA28" s="6" t="n"/>
      <c r="AB28" s="6" t="n"/>
    </row>
    <row r="29" ht="15" customHeight="1" s="92">
      <c r="A29" s="61" t="inlineStr">
        <is>
          <t>Зп маркетолог (%)</t>
        </is>
      </c>
      <c r="B29" s="115">
        <f>IF(B$48&lt;Параметры!$B$33,0,ROUND((B3+B6+B9)*Параметры!$B$32,0))</f>
        <v/>
      </c>
      <c r="C29" s="115">
        <f>IF(C$48&lt;Параметры!$B$33,0,ROUND((C3+C6+C9)*Параметры!$B$32,0))</f>
        <v/>
      </c>
      <c r="D29" s="115">
        <f>IF(D$48&lt;Параметры!$B$33,0,ROUND((D3+D6+D9)*Параметры!$B$32,0))</f>
        <v/>
      </c>
      <c r="E29" s="115">
        <f>IF(E$48&lt;Параметры!$B$33,0,ROUND((E3+E6+E9)*Параметры!$B$32,0))</f>
        <v/>
      </c>
      <c r="F29" s="115">
        <f>IF(F$48&lt;Параметры!$B$33,0,ROUND((F3+F6+F9)*Параметры!$B$32,0))</f>
        <v/>
      </c>
      <c r="G29" s="115">
        <f>IF(G$48&lt;Параметры!$B$33,0,ROUND((G3+G6+G9)*Параметры!$B$32,0))</f>
        <v/>
      </c>
      <c r="H29" s="115">
        <f>IF(H$48&lt;Параметры!$B$33,0,ROUND((H3+H6+H9)*Параметры!$B$32,0))</f>
        <v/>
      </c>
      <c r="I29" s="115">
        <f>IF(I$48&lt;Параметры!$B$33,0,ROUND((I3+I6+I9)*Параметры!$B$32,0))</f>
        <v/>
      </c>
      <c r="J29" s="115">
        <f>IF(J$48&lt;Параметры!$B$33,0,ROUND((J3+J6+J9)*Параметры!$B$32,0))</f>
        <v/>
      </c>
      <c r="K29" s="115">
        <f>IF(K$48&lt;Параметры!$B$33,0,ROUND((K3+K6+K9)*Параметры!$B$32,0))</f>
        <v/>
      </c>
      <c r="L29" s="115">
        <f>IF(L$48&lt;Параметры!$B$33,0,ROUND((L3+L6+L9)*Параметры!$B$32,0))</f>
        <v/>
      </c>
      <c r="M29" s="115">
        <f>IF(M$48&lt;Параметры!$B$33,0,ROUND((M3+M6+M9)*Параметры!$B$32,0))</f>
        <v/>
      </c>
      <c r="N29" s="115">
        <f>IF(N$48&lt;Параметры!$B$33,0,ROUND((N3+N6+N9)*Параметры!$B$32,0))</f>
        <v/>
      </c>
      <c r="O29" s="115">
        <f>IF(O$48&lt;Параметры!$B$33,0,ROUND((O3+O6+O9)*Параметры!$B$32,0))</f>
        <v/>
      </c>
      <c r="P29" s="115">
        <f>IF(P$48&lt;Параметры!$B$33,0,ROUND((P3+P6+P9)*Параметры!$B$32,0))</f>
        <v/>
      </c>
      <c r="Q29" s="115">
        <f>IF(Q$48&lt;Параметры!$B$33,0,ROUND((Q3+Q6+Q9)*Параметры!$B$32,0))</f>
        <v/>
      </c>
      <c r="R29" s="115">
        <f>IF(R$48&lt;Параметры!$B$33,0,ROUND((R3+R6+R9)*Параметры!$B$32,0))</f>
        <v/>
      </c>
      <c r="S29" s="115">
        <f>IF(S$48&lt;Параметры!$B$33,0,ROUND((S3+S6+S9)*Параметры!$B$32,0))</f>
        <v/>
      </c>
      <c r="T29" s="115">
        <f>IF(T$48&lt;Параметры!$B$33,0,ROUND((T3+T6+T9)*Параметры!$B$32,0))</f>
        <v/>
      </c>
      <c r="U29" s="115">
        <f>IF(U$48&lt;Параметры!$B$33,0,ROUND((U3+U6+U9)*Параметры!$B$32,0))</f>
        <v/>
      </c>
      <c r="V29" s="115">
        <f>IF(V$48&lt;Параметры!$B$33,0,ROUND((V3+V6+V9)*Параметры!$B$32,0))</f>
        <v/>
      </c>
      <c r="W29" s="115">
        <f>IF(W$48&lt;Параметры!$B$33,0,ROUND((W3+W6+W9)*Параметры!$B$32,0))</f>
        <v/>
      </c>
      <c r="X29" s="115">
        <f>IF(X$48&lt;Параметры!$B$33,0,ROUND((X3+X6+X9)*Параметры!$B$32,0))</f>
        <v/>
      </c>
      <c r="Y29" s="115">
        <f>IF(Y$48&lt;Параметры!$B$33,0,ROUND((Y3+Y6+Y9)*Параметры!$B$32,0))</f>
        <v/>
      </c>
      <c r="Z29" s="116">
        <f>SUM(B29:Y29)</f>
        <v/>
      </c>
      <c r="AA29" s="6" t="n"/>
      <c r="AB29" s="6" t="n"/>
    </row>
    <row r="30" ht="15" customHeight="1" s="92">
      <c r="A30" s="61" t="inlineStr">
        <is>
          <t>Зп менеджер по продажам 1 (оклад)</t>
        </is>
      </c>
      <c r="B30" s="115">
        <f>IF(B$48&lt;Параметры!$B$30,0,ROUND(Параметры!$B$28*IF(B$48&lt;=12,1,1+Параметры!$B$39),0))</f>
        <v/>
      </c>
      <c r="C30" s="115">
        <f>IF(C$48&lt;Параметры!$B$30,0,ROUND(Параметры!$B$28*IF(C$48&lt;=12,1,1+Параметры!$B$39),0))</f>
        <v/>
      </c>
      <c r="D30" s="115">
        <f>IF(D$48&lt;Параметры!$B$30,0,ROUND(Параметры!$B$28*IF(D$48&lt;=12,1,1+Параметры!$B$39),0))</f>
        <v/>
      </c>
      <c r="E30" s="115">
        <f>IF(E$48&lt;Параметры!$B$30,0,ROUND(Параметры!$B$28*IF(E$48&lt;=12,1,1+Параметры!$B$39),0))</f>
        <v/>
      </c>
      <c r="F30" s="115">
        <f>IF(F$48&lt;Параметры!$B$30,0,ROUND(Параметры!$B$28*IF(F$48&lt;=12,1,1+Параметры!$B$39),0))</f>
        <v/>
      </c>
      <c r="G30" s="115">
        <f>IF(G$48&lt;Параметры!$B$30,0,ROUND(Параметры!$B$28*IF(G$48&lt;=12,1,1+Параметры!$B$39),0))</f>
        <v/>
      </c>
      <c r="H30" s="115">
        <f>IF(H$48&lt;Параметры!$B$30,0,ROUND(Параметры!$B$28*IF(H$48&lt;=12,1,1+Параметры!$B$39),0))</f>
        <v/>
      </c>
      <c r="I30" s="115">
        <f>IF(I$48&lt;Параметры!$B$30,0,ROUND(Параметры!$B$28*IF(I$48&lt;=12,1,1+Параметры!$B$39),0))</f>
        <v/>
      </c>
      <c r="J30" s="115">
        <f>IF(J$48&lt;Параметры!$B$30,0,ROUND(Параметры!$B$28*IF(J$48&lt;=12,1,1+Параметры!$B$39),0))</f>
        <v/>
      </c>
      <c r="K30" s="115">
        <f>IF(K$48&lt;Параметры!$B$30,0,ROUND(Параметры!$B$28*IF(K$48&lt;=12,1,1+Параметры!$B$39),0))</f>
        <v/>
      </c>
      <c r="L30" s="115">
        <f>IF(L$48&lt;Параметры!$B$30,0,ROUND(Параметры!$B$28*IF(L$48&lt;=12,1,1+Параметры!$B$39),0))</f>
        <v/>
      </c>
      <c r="M30" s="115">
        <f>IF(M$48&lt;Параметры!$B$30,0,ROUND(Параметры!$B$28*IF(M$48&lt;=12,1,1+Параметры!$B$39),0))</f>
        <v/>
      </c>
      <c r="N30" s="115">
        <f>IF(N$48&lt;Параметры!$B$30,0,ROUND(Параметры!$B$28*IF(N$48&lt;=12,1,1+Параметры!$B$39),0))</f>
        <v/>
      </c>
      <c r="O30" s="115">
        <f>IF(O$48&lt;Параметры!$B$30,0,ROUND(Параметры!$B$28*IF(O$48&lt;=12,1,1+Параметры!$B$39),0))</f>
        <v/>
      </c>
      <c r="P30" s="115">
        <f>IF(P$48&lt;Параметры!$B$30,0,ROUND(Параметры!$B$28*IF(P$48&lt;=12,1,1+Параметры!$B$39),0))</f>
        <v/>
      </c>
      <c r="Q30" s="115">
        <f>IF(Q$48&lt;Параметры!$B$30,0,ROUND(Параметры!$B$28*IF(Q$48&lt;=12,1,1+Параметры!$B$39),0))</f>
        <v/>
      </c>
      <c r="R30" s="115">
        <f>IF(R$48&lt;Параметры!$B$30,0,ROUND(Параметры!$B$28*IF(R$48&lt;=12,1,1+Параметры!$B$39),0))</f>
        <v/>
      </c>
      <c r="S30" s="115">
        <f>IF(S$48&lt;Параметры!$B$30,0,ROUND(Параметры!$B$28*IF(S$48&lt;=12,1,1+Параметры!$B$39),0))</f>
        <v/>
      </c>
      <c r="T30" s="115">
        <f>IF(T$48&lt;Параметры!$B$30,0,ROUND(Параметры!$B$28*IF(T$48&lt;=12,1,1+Параметры!$B$39),0))</f>
        <v/>
      </c>
      <c r="U30" s="115">
        <f>IF(U$48&lt;Параметры!$B$30,0,ROUND(Параметры!$B$28*IF(U$48&lt;=12,1,1+Параметры!$B$39),0))</f>
        <v/>
      </c>
      <c r="V30" s="115">
        <f>IF(V$48&lt;Параметры!$B$30,0,ROUND(Параметры!$B$28*IF(V$48&lt;=12,1,1+Параметры!$B$39),0))</f>
        <v/>
      </c>
      <c r="W30" s="115">
        <f>IF(W$48&lt;Параметры!$B$30,0,ROUND(Параметры!$B$28*IF(W$48&lt;=12,1,1+Параметры!$B$39),0))</f>
        <v/>
      </c>
      <c r="X30" s="115">
        <f>IF(X$48&lt;Параметры!$B$30,0,ROUND(Параметры!$B$28*IF(X$48&lt;=12,1,1+Параметры!$B$39),0))</f>
        <v/>
      </c>
      <c r="Y30" s="115">
        <f>IF(Y$48&lt;Параметры!$B$30,0,ROUND(Параметры!$B$28*IF(Y$48&lt;=12,1,1+Параметры!$B$39),0))</f>
        <v/>
      </c>
      <c r="Z30" s="116">
        <f>SUM(B30:Y30)</f>
        <v/>
      </c>
      <c r="AA30" s="6" t="n"/>
      <c r="AB30" s="6" t="n"/>
    </row>
    <row r="31" ht="15" customHeight="1" s="92">
      <c r="A31" s="61" t="inlineStr">
        <is>
          <t>Зп менеджер по продажам 2 (оклад)</t>
        </is>
      </c>
      <c r="B31" s="115">
        <f>IF(B$48&lt;Параметры!$B$38,0,ROUND(Параметры!$B$36*IF(B$48&lt;=12,1,1+Параметры!$B$39),0))</f>
        <v/>
      </c>
      <c r="C31" s="115">
        <f>IF(C$48&lt;Параметры!$B$38,0,ROUND(Параметры!$B$36*IF(C$48&lt;=12,1,1+Параметры!$B$39),0))</f>
        <v/>
      </c>
      <c r="D31" s="115">
        <f>IF(D$48&lt;Параметры!$B$38,0,ROUND(Параметры!$B$36*IF(D$48&lt;=12,1,1+Параметры!$B$39),0))</f>
        <v/>
      </c>
      <c r="E31" s="115">
        <f>IF(E$48&lt;Параметры!$B$38,0,ROUND(Параметры!$B$36*IF(E$48&lt;=12,1,1+Параметры!$B$39),0))</f>
        <v/>
      </c>
      <c r="F31" s="115">
        <f>IF(F$48&lt;Параметры!$B$38,0,ROUND(Параметры!$B$36*IF(F$48&lt;=12,1,1+Параметры!$B$39),0))</f>
        <v/>
      </c>
      <c r="G31" s="115">
        <f>IF(G$48&lt;Параметры!$B$38,0,ROUND(Параметры!$B$36*IF(G$48&lt;=12,1,1+Параметры!$B$39),0))</f>
        <v/>
      </c>
      <c r="H31" s="115">
        <f>IF(H$48&lt;Параметры!$B$38,0,ROUND(Параметры!$B$36*IF(H$48&lt;=12,1,1+Параметры!$B$39),0))</f>
        <v/>
      </c>
      <c r="I31" s="115">
        <f>IF(I$48&lt;Параметры!$B$38,0,ROUND(Параметры!$B$36*IF(I$48&lt;=12,1,1+Параметры!$B$39),0))</f>
        <v/>
      </c>
      <c r="J31" s="115">
        <f>IF(J$48&lt;Параметры!$B$38,0,ROUND(Параметры!$B$36*IF(J$48&lt;=12,1,1+Параметры!$B$39),0))</f>
        <v/>
      </c>
      <c r="K31" s="115">
        <f>IF(K$48&lt;Параметры!$B$38,0,ROUND(Параметры!$B$36*IF(K$48&lt;=12,1,1+Параметры!$B$39),0))</f>
        <v/>
      </c>
      <c r="L31" s="115">
        <f>IF(L$48&lt;Параметры!$B$38,0,ROUND(Параметры!$B$36*IF(L$48&lt;=12,1,1+Параметры!$B$39),0))</f>
        <v/>
      </c>
      <c r="M31" s="115">
        <f>IF(M$48&lt;Параметры!$B$38,0,ROUND(Параметры!$B$36*IF(M$48&lt;=12,1,1+Параметры!$B$39),0))</f>
        <v/>
      </c>
      <c r="N31" s="115">
        <f>IF(N$48&lt;Параметры!$B$38,0,ROUND(Параметры!$B$36*IF(N$48&lt;=12,1,1+Параметры!$B$39),0))</f>
        <v/>
      </c>
      <c r="O31" s="115">
        <f>IF(O$48&lt;Параметры!$B$38,0,ROUND(Параметры!$B$36*IF(O$48&lt;=12,1,1+Параметры!$B$39),0))</f>
        <v/>
      </c>
      <c r="P31" s="115">
        <f>IF(P$48&lt;Параметры!$B$38,0,ROUND(Параметры!$B$36*IF(P$48&lt;=12,1,1+Параметры!$B$39),0))</f>
        <v/>
      </c>
      <c r="Q31" s="115">
        <f>IF(Q$48&lt;Параметры!$B$38,0,ROUND(Параметры!$B$36*IF(Q$48&lt;=12,1,1+Параметры!$B$39),0))</f>
        <v/>
      </c>
      <c r="R31" s="115">
        <f>IF(R$48&lt;Параметры!$B$38,0,ROUND(Параметры!$B$36*IF(R$48&lt;=12,1,1+Параметры!$B$39),0))</f>
        <v/>
      </c>
      <c r="S31" s="115">
        <f>IF(S$48&lt;Параметры!$B$38,0,ROUND(Параметры!$B$36*IF(S$48&lt;=12,1,1+Параметры!$B$39),0))</f>
        <v/>
      </c>
      <c r="T31" s="115">
        <f>IF(T$48&lt;Параметры!$B$38,0,ROUND(Параметры!$B$36*IF(T$48&lt;=12,1,1+Параметры!$B$39),0))</f>
        <v/>
      </c>
      <c r="U31" s="115">
        <f>IF(U$48&lt;Параметры!$B$38,0,ROUND(Параметры!$B$36*IF(U$48&lt;=12,1,1+Параметры!$B$39),0))</f>
        <v/>
      </c>
      <c r="V31" s="115">
        <f>IF(V$48&lt;Параметры!$B$38,0,ROUND(Параметры!$B$36*IF(V$48&lt;=12,1,1+Параметры!$B$39),0))</f>
        <v/>
      </c>
      <c r="W31" s="115">
        <f>IF(W$48&lt;Параметры!$B$38,0,ROUND(Параметры!$B$36*IF(W$48&lt;=12,1,1+Параметры!$B$39),0))</f>
        <v/>
      </c>
      <c r="X31" s="115">
        <f>IF(X$48&lt;Параметры!$B$38,0,ROUND(Параметры!$B$36*IF(X$48&lt;=12,1,1+Параметры!$B$39),0))</f>
        <v/>
      </c>
      <c r="Y31" s="115">
        <f>IF(Y$48&lt;Параметры!$B$38,0,ROUND(Параметры!$B$36*IF(Y$48&lt;=12,1,1+Параметры!$B$39),0))</f>
        <v/>
      </c>
      <c r="Z31" s="116">
        <f>SUM(B31:Y31)</f>
        <v/>
      </c>
      <c r="AA31" s="6" t="n"/>
      <c r="AB31" s="6" t="n"/>
    </row>
    <row r="32" ht="15" customHeight="1" s="92">
      <c r="A32" s="61" t="inlineStr">
        <is>
          <t>Зп маркетолог (оклад)</t>
        </is>
      </c>
      <c r="B32" s="115">
        <f>IF(B$48&lt;Параметры!$B$33,0,ROUND(Параметры!$B$31*IF(B$48&lt;=12,1,1+Параметры!$B$39),0))</f>
        <v/>
      </c>
      <c r="C32" s="115">
        <f>IF(C$48&lt;Параметры!$B$33,0,ROUND(Параметры!$B$31*IF(C$48&lt;=12,1,1+Параметры!$B$39),0))</f>
        <v/>
      </c>
      <c r="D32" s="115">
        <f>IF(D$48&lt;Параметры!$B$33,0,ROUND(Параметры!$B$31*IF(D$48&lt;=12,1,1+Параметры!$B$39),0))</f>
        <v/>
      </c>
      <c r="E32" s="115">
        <f>IF(E$48&lt;Параметры!$B$33,0,ROUND(Параметры!$B$31*IF(E$48&lt;=12,1,1+Параметры!$B$39),0))</f>
        <v/>
      </c>
      <c r="F32" s="115">
        <f>IF(F$48&lt;Параметры!$B$33,0,ROUND(Параметры!$B$31*IF(F$48&lt;=12,1,1+Параметры!$B$39),0))</f>
        <v/>
      </c>
      <c r="G32" s="115">
        <f>IF(G$48&lt;Параметры!$B$33,0,ROUND(Параметры!$B$31*IF(G$48&lt;=12,1,1+Параметры!$B$39),0))</f>
        <v/>
      </c>
      <c r="H32" s="115">
        <f>IF(H$48&lt;Параметры!$B$33,0,ROUND(Параметры!$B$31*IF(H$48&lt;=12,1,1+Параметры!$B$39),0))</f>
        <v/>
      </c>
      <c r="I32" s="115">
        <f>IF(I$48&lt;Параметры!$B$33,0,ROUND(Параметры!$B$31*IF(I$48&lt;=12,1,1+Параметры!$B$39),0))</f>
        <v/>
      </c>
      <c r="J32" s="115">
        <f>IF(J$48&lt;Параметры!$B$33,0,ROUND(Параметры!$B$31*IF(J$48&lt;=12,1,1+Параметры!$B$39),0))</f>
        <v/>
      </c>
      <c r="K32" s="115">
        <f>IF(K$48&lt;Параметры!$B$33,0,ROUND(Параметры!$B$31*IF(K$48&lt;=12,1,1+Параметры!$B$39),0))</f>
        <v/>
      </c>
      <c r="L32" s="115">
        <f>IF(L$48&lt;Параметры!$B$33,0,ROUND(Параметры!$B$31*IF(L$48&lt;=12,1,1+Параметры!$B$39),0))</f>
        <v/>
      </c>
      <c r="M32" s="115">
        <f>IF(M$48&lt;Параметры!$B$33,0,ROUND(Параметры!$B$31*IF(M$48&lt;=12,1,1+Параметры!$B$39),0))</f>
        <v/>
      </c>
      <c r="N32" s="115">
        <f>IF(N$48&lt;Параметры!$B$33,0,ROUND(Параметры!$B$31*IF(N$48&lt;=12,1,1+Параметры!$B$39),0))</f>
        <v/>
      </c>
      <c r="O32" s="115">
        <f>IF(O$48&lt;Параметры!$B$33,0,ROUND(Параметры!$B$31*IF(O$48&lt;=12,1,1+Параметры!$B$39),0))</f>
        <v/>
      </c>
      <c r="P32" s="115">
        <f>IF(P$48&lt;Параметры!$B$33,0,ROUND(Параметры!$B$31*IF(P$48&lt;=12,1,1+Параметры!$B$39),0))</f>
        <v/>
      </c>
      <c r="Q32" s="115">
        <f>IF(Q$48&lt;Параметры!$B$33,0,ROUND(Параметры!$B$31*IF(Q$48&lt;=12,1,1+Параметры!$B$39),0))</f>
        <v/>
      </c>
      <c r="R32" s="115">
        <f>IF(R$48&lt;Параметры!$B$33,0,ROUND(Параметры!$B$31*IF(R$48&lt;=12,1,1+Параметры!$B$39),0))</f>
        <v/>
      </c>
      <c r="S32" s="115">
        <f>IF(S$48&lt;Параметры!$B$33,0,ROUND(Параметры!$B$31*IF(S$48&lt;=12,1,1+Параметры!$B$39),0))</f>
        <v/>
      </c>
      <c r="T32" s="115">
        <f>IF(T$48&lt;Параметры!$B$33,0,ROUND(Параметры!$B$31*IF(T$48&lt;=12,1,1+Параметры!$B$39),0))</f>
        <v/>
      </c>
      <c r="U32" s="115">
        <f>IF(U$48&lt;Параметры!$B$33,0,ROUND(Параметры!$B$31*IF(U$48&lt;=12,1,1+Параметры!$B$39),0))</f>
        <v/>
      </c>
      <c r="V32" s="115">
        <f>IF(V$48&lt;Параметры!$B$33,0,ROUND(Параметры!$B$31*IF(V$48&lt;=12,1,1+Параметры!$B$39),0))</f>
        <v/>
      </c>
      <c r="W32" s="115">
        <f>IF(W$48&lt;Параметры!$B$33,0,ROUND(Параметры!$B$31*IF(W$48&lt;=12,1,1+Параметры!$B$39),0))</f>
        <v/>
      </c>
      <c r="X32" s="115">
        <f>IF(X$48&lt;Параметры!$B$33,0,ROUND(Параметры!$B$31*IF(X$48&lt;=12,1,1+Параметры!$B$39),0))</f>
        <v/>
      </c>
      <c r="Y32" s="115">
        <f>IF(Y$48&lt;Параметры!$B$33,0,ROUND(Параметры!$B$31*IF(Y$48&lt;=12,1,1+Параметры!$B$39),0))</f>
        <v/>
      </c>
      <c r="Z32" s="116">
        <f>SUM(B32:Y32)</f>
        <v/>
      </c>
      <c r="AA32" s="6" t="n"/>
      <c r="AB32" s="6" t="n"/>
    </row>
    <row r="33" ht="15" customHeight="1" s="92">
      <c r="A33" s="61" t="inlineStr">
        <is>
          <t>ЗП Руководителя</t>
        </is>
      </c>
      <c r="B33" s="115">
        <f>IF(B$48&lt;Параметры!$B$25,0,ROUND(Параметры!$B$24*IF(B$48&lt;=12,1,1+Параметры!$B$39),0))</f>
        <v/>
      </c>
      <c r="C33" s="115">
        <f>IF(C$48&lt;Параметры!$B$25,0,ROUND(Параметры!$B$24*IF(C$48&lt;=12,1,1+Параметры!$B$39),0))</f>
        <v/>
      </c>
      <c r="D33" s="115">
        <f>IF(D$48&lt;Параметры!$B$25,0,ROUND(Параметры!$B$24*IF(D$48&lt;=12,1,1+Параметры!$B$39),0))</f>
        <v/>
      </c>
      <c r="E33" s="115">
        <f>IF(E$48&lt;Параметры!$B$25,0,ROUND(Параметры!$B$24*IF(E$48&lt;=12,1,1+Параметры!$B$39),0))</f>
        <v/>
      </c>
      <c r="F33" s="115">
        <f>IF(F$48&lt;Параметры!$B$25,0,ROUND(Параметры!$B$24*IF(F$48&lt;=12,1,1+Параметры!$B$39),0))</f>
        <v/>
      </c>
      <c r="G33" s="115">
        <f>IF(G$48&lt;Параметры!$B$25,0,ROUND(Параметры!$B$24*IF(G$48&lt;=12,1,1+Параметры!$B$39),0))</f>
        <v/>
      </c>
      <c r="H33" s="115">
        <f>IF(H$48&lt;Параметры!$B$25,0,ROUND(Параметры!$B$24*IF(H$48&lt;=12,1,1+Параметры!$B$39),0))</f>
        <v/>
      </c>
      <c r="I33" s="115">
        <f>IF(I$48&lt;Параметры!$B$25,0,ROUND(Параметры!$B$24*IF(I$48&lt;=12,1,1+Параметры!$B$39),0))</f>
        <v/>
      </c>
      <c r="J33" s="115">
        <f>IF(J$48&lt;Параметры!$B$25,0,ROUND(Параметры!$B$24*IF(J$48&lt;=12,1,1+Параметры!$B$39),0))</f>
        <v/>
      </c>
      <c r="K33" s="115">
        <f>IF(K$48&lt;Параметры!$B$25,0,ROUND(Параметры!$B$24*IF(K$48&lt;=12,1,1+Параметры!$B$39),0))</f>
        <v/>
      </c>
      <c r="L33" s="115">
        <f>IF(L$48&lt;Параметры!$B$25,0,ROUND(Параметры!$B$24*IF(L$48&lt;=12,1,1+Параметры!$B$39),0))</f>
        <v/>
      </c>
      <c r="M33" s="115">
        <f>IF(M$48&lt;Параметры!$B$25,0,ROUND(Параметры!$B$24*IF(M$48&lt;=12,1,1+Параметры!$B$39),0))</f>
        <v/>
      </c>
      <c r="N33" s="115">
        <f>IF(N$48&lt;Параметры!$B$25,0,ROUND(Параметры!$B$24*IF(N$48&lt;=12,1,1+Параметры!$B$39),0))</f>
        <v/>
      </c>
      <c r="O33" s="115">
        <f>IF(O$48&lt;Параметры!$B$25,0,ROUND(Параметры!$B$24*IF(O$48&lt;=12,1,1+Параметры!$B$39),0))</f>
        <v/>
      </c>
      <c r="P33" s="115">
        <f>IF(P$48&lt;Параметры!$B$25,0,ROUND(Параметры!$B$24*IF(P$48&lt;=12,1,1+Параметры!$B$39),0))</f>
        <v/>
      </c>
      <c r="Q33" s="115">
        <f>IF(Q$48&lt;Параметры!$B$25,0,ROUND(Параметры!$B$24*IF(Q$48&lt;=12,1,1+Параметры!$B$39),0))</f>
        <v/>
      </c>
      <c r="R33" s="115">
        <f>IF(R$48&lt;Параметры!$B$25,0,ROUND(Параметры!$B$24*IF(R$48&lt;=12,1,1+Параметры!$B$39),0))</f>
        <v/>
      </c>
      <c r="S33" s="115">
        <f>IF(S$48&lt;Параметры!$B$25,0,ROUND(Параметры!$B$24*IF(S$48&lt;=12,1,1+Параметры!$B$39),0))</f>
        <v/>
      </c>
      <c r="T33" s="115">
        <f>IF(T$48&lt;Параметры!$B$25,0,ROUND(Параметры!$B$24*IF(T$48&lt;=12,1,1+Параметры!$B$39),0))</f>
        <v/>
      </c>
      <c r="U33" s="115">
        <f>IF(U$48&lt;Параметры!$B$25,0,ROUND(Параметры!$B$24*IF(U$48&lt;=12,1,1+Параметры!$B$39),0))</f>
        <v/>
      </c>
      <c r="V33" s="115">
        <f>IF(V$48&lt;Параметры!$B$25,0,ROUND(Параметры!$B$24*IF(V$48&lt;=12,1,1+Параметры!$B$39),0))</f>
        <v/>
      </c>
      <c r="W33" s="115">
        <f>IF(W$48&lt;Параметры!$B$25,0,ROUND(Параметры!$B$24*IF(W$48&lt;=12,1,1+Параметры!$B$39),0))</f>
        <v/>
      </c>
      <c r="X33" s="115">
        <f>IF(X$48&lt;Параметры!$B$25,0,ROUND(Параметры!$B$24*IF(X$48&lt;=12,1,1+Параметры!$B$39),0))</f>
        <v/>
      </c>
      <c r="Y33" s="115">
        <f>IF(Y$48&lt;Параметры!$B$25,0,ROUND(Параметры!$B$24*IF(Y$48&lt;=12,1,1+Параметры!$B$39),0))</f>
        <v/>
      </c>
      <c r="Z33" s="116">
        <f>SUM(B33:Y33)</f>
        <v/>
      </c>
      <c r="AA33" s="6" t="n"/>
      <c r="AB33" s="6" t="n"/>
    </row>
    <row r="34" ht="15" customHeight="1" s="92">
      <c r="A34" s="62" t="inlineStr">
        <is>
          <t>ИТОГО расходы на ФОТ</t>
        </is>
      </c>
      <c r="B34" s="63">
        <f>SUM(B27:B33)</f>
        <v/>
      </c>
      <c r="C34" s="63">
        <f>SUM(C27:C33)</f>
        <v/>
      </c>
      <c r="D34" s="63">
        <f>SUM(D27:D33)</f>
        <v/>
      </c>
      <c r="E34" s="63">
        <f>SUM(E27:E33)</f>
        <v/>
      </c>
      <c r="F34" s="63">
        <f>SUM(F27:F33)</f>
        <v/>
      </c>
      <c r="G34" s="63">
        <f>SUM(G27:G33)</f>
        <v/>
      </c>
      <c r="H34" s="63">
        <f>SUM(H27:H33)</f>
        <v/>
      </c>
      <c r="I34" s="63">
        <f>SUM(I27:I33)</f>
        <v/>
      </c>
      <c r="J34" s="63">
        <f>SUM(J27:J33)</f>
        <v/>
      </c>
      <c r="K34" s="63">
        <f>SUM(K27:K33)</f>
        <v/>
      </c>
      <c r="L34" s="63">
        <f>SUM(L27:L33)</f>
        <v/>
      </c>
      <c r="M34" s="63">
        <f>SUM(M27:M33)</f>
        <v/>
      </c>
      <c r="N34" s="63">
        <f>SUM(N27:N33)</f>
        <v/>
      </c>
      <c r="O34" s="63">
        <f>SUM(O27:O33)</f>
        <v/>
      </c>
      <c r="P34" s="63">
        <f>SUM(P27:P33)</f>
        <v/>
      </c>
      <c r="Q34" s="63">
        <f>SUM(Q27:Q33)</f>
        <v/>
      </c>
      <c r="R34" s="63">
        <f>SUM(R27:R33)</f>
        <v/>
      </c>
      <c r="S34" s="63">
        <f>SUM(S27:S33)</f>
        <v/>
      </c>
      <c r="T34" s="63">
        <f>SUM(T27:T33)</f>
        <v/>
      </c>
      <c r="U34" s="63">
        <f>SUM(U27:U33)</f>
        <v/>
      </c>
      <c r="V34" s="63">
        <f>SUM(V27:V33)</f>
        <v/>
      </c>
      <c r="W34" s="63">
        <f>SUM(W27:W33)</f>
        <v/>
      </c>
      <c r="X34" s="63">
        <f>SUM(X27:X33)</f>
        <v/>
      </c>
      <c r="Y34" s="63">
        <f>SUM(Y27:Y33)</f>
        <v/>
      </c>
      <c r="Z34" s="60">
        <f>SUM(B34:Y34)</f>
        <v/>
      </c>
      <c r="AA34" s="6" t="n"/>
      <c r="AB34" s="6" t="n"/>
    </row>
    <row r="35" ht="15" customHeight="1" s="92">
      <c r="A35" s="67" t="inlineStr">
        <is>
          <t>Аренда офиса и мини-склада</t>
        </is>
      </c>
      <c r="B35" s="117">
        <f>IF(B$48&lt;Параметры!$B$56,0,Параметры!$B$55)</f>
        <v/>
      </c>
      <c r="C35" s="117">
        <f>IF(C$48&lt;Параметры!$B$56,0,Параметры!$B$55)</f>
        <v/>
      </c>
      <c r="D35" s="117">
        <f>IF(D$48&lt;Параметры!$B$56,0,Параметры!$B$55)</f>
        <v/>
      </c>
      <c r="E35" s="117">
        <f>IF(E$48&lt;Параметры!$B$56,0,Параметры!$B$55)</f>
        <v/>
      </c>
      <c r="F35" s="117">
        <f>IF(F$48&lt;Параметры!$B$56,0,Параметры!$B$55)</f>
        <v/>
      </c>
      <c r="G35" s="117">
        <f>IF(G$48&lt;Параметры!$B$56,0,Параметры!$B$55)</f>
        <v/>
      </c>
      <c r="H35" s="117">
        <f>IF(H$48&lt;Параметры!$B$56,0,Параметры!$B$55)</f>
        <v/>
      </c>
      <c r="I35" s="117">
        <f>IF(I$48&lt;Параметры!$B$56,0,Параметры!$B$55)</f>
        <v/>
      </c>
      <c r="J35" s="117">
        <f>IF(J$48&lt;Параметры!$B$56,0,Параметры!$B$55)</f>
        <v/>
      </c>
      <c r="K35" s="117">
        <f>IF(K$48&lt;Параметры!$B$56,0,Параметры!$B$55)</f>
        <v/>
      </c>
      <c r="L35" s="117">
        <f>IF(L$48&lt;Параметры!$B$56,0,Параметры!$B$55)</f>
        <v/>
      </c>
      <c r="M35" s="117">
        <f>IF(M$48&lt;Параметры!$B$56,0,Параметры!$B$55)</f>
        <v/>
      </c>
      <c r="N35" s="117">
        <f>IF(N$48&lt;Параметры!$B$56,0,Параметры!$B$55)</f>
        <v/>
      </c>
      <c r="O35" s="117">
        <f>IF(O$48&lt;Параметры!$B$56,0,Параметры!$B$55)</f>
        <v/>
      </c>
      <c r="P35" s="117">
        <f>IF(P$48&lt;Параметры!$B$56,0,Параметры!$B$55)</f>
        <v/>
      </c>
      <c r="Q35" s="117">
        <f>IF(Q$48&lt;Параметры!$B$56,0,Параметры!$B$55)</f>
        <v/>
      </c>
      <c r="R35" s="117">
        <f>IF(R$48&lt;Параметры!$B$56,0,Параметры!$B$55)</f>
        <v/>
      </c>
      <c r="S35" s="117">
        <f>IF(S$48&lt;Параметры!$B$56,0,Параметры!$B$55)</f>
        <v/>
      </c>
      <c r="T35" s="117">
        <f>IF(T$48&lt;Параметры!$B$56,0,Параметры!$B$55)</f>
        <v/>
      </c>
      <c r="U35" s="117">
        <f>IF(U$48&lt;Параметры!$B$56,0,Параметры!$B$55)</f>
        <v/>
      </c>
      <c r="V35" s="117">
        <f>IF(V$48&lt;Параметры!$B$56,0,Параметры!$B$55)</f>
        <v/>
      </c>
      <c r="W35" s="117">
        <f>IF(W$48&lt;Параметры!$B$56,0,Параметры!$B$55)</f>
        <v/>
      </c>
      <c r="X35" s="117">
        <f>IF(X$48&lt;Параметры!$B$56,0,Параметры!$B$55)</f>
        <v/>
      </c>
      <c r="Y35" s="117">
        <f>IF(Y$48&lt;Параметры!$B$56,0,Параметры!$B$55)</f>
        <v/>
      </c>
      <c r="Z35" s="118">
        <f>SUM(B35:Y35)</f>
        <v/>
      </c>
      <c r="AA35" s="6" t="n"/>
      <c r="AB35" s="6" t="n"/>
    </row>
    <row r="36" ht="15" customHeight="1" s="92">
      <c r="A36" s="67" t="inlineStr">
        <is>
          <t>Канцелярия и прочие расходы</t>
        </is>
      </c>
      <c r="B36" s="117">
        <f>Параметры!$B$57</f>
        <v/>
      </c>
      <c r="C36" s="117">
        <f>Параметры!$B$57</f>
        <v/>
      </c>
      <c r="D36" s="117">
        <f>Параметры!$B$57</f>
        <v/>
      </c>
      <c r="E36" s="117">
        <f>Параметры!$B$57</f>
        <v/>
      </c>
      <c r="F36" s="117">
        <f>Параметры!$B$57</f>
        <v/>
      </c>
      <c r="G36" s="117">
        <f>Параметры!$B$57</f>
        <v/>
      </c>
      <c r="H36" s="117">
        <f>Параметры!$B$57</f>
        <v/>
      </c>
      <c r="I36" s="117">
        <f>Параметры!$B$57</f>
        <v/>
      </c>
      <c r="J36" s="117">
        <f>Параметры!$B$57</f>
        <v/>
      </c>
      <c r="K36" s="117">
        <f>Параметры!$B$57</f>
        <v/>
      </c>
      <c r="L36" s="117">
        <f>Параметры!$B$57</f>
        <v/>
      </c>
      <c r="M36" s="117">
        <f>Параметры!$B$57</f>
        <v/>
      </c>
      <c r="N36" s="117">
        <f>Параметры!$B$57</f>
        <v/>
      </c>
      <c r="O36" s="117">
        <f>Параметры!$B$57</f>
        <v/>
      </c>
      <c r="P36" s="117">
        <f>Параметры!$B$57</f>
        <v/>
      </c>
      <c r="Q36" s="117">
        <f>Параметры!$B$57</f>
        <v/>
      </c>
      <c r="R36" s="117">
        <f>Параметры!$B$57</f>
        <v/>
      </c>
      <c r="S36" s="117">
        <f>Параметры!$B$57</f>
        <v/>
      </c>
      <c r="T36" s="117">
        <f>Параметры!$B$57</f>
        <v/>
      </c>
      <c r="U36" s="117">
        <f>Параметры!$B$57</f>
        <v/>
      </c>
      <c r="V36" s="117">
        <f>Параметры!$B$57</f>
        <v/>
      </c>
      <c r="W36" s="117">
        <f>Параметры!$B$57</f>
        <v/>
      </c>
      <c r="X36" s="117">
        <f>Параметры!$B$57</f>
        <v/>
      </c>
      <c r="Y36" s="117">
        <f>Параметры!$B$57</f>
        <v/>
      </c>
      <c r="Z36" s="118">
        <f>SUM(B36:Y36)</f>
        <v/>
      </c>
      <c r="AA36" s="6" t="n"/>
      <c r="AB36" s="6" t="n"/>
    </row>
    <row r="37" ht="15" customHeight="1" s="92">
      <c r="A37" s="67" t="inlineStr">
        <is>
          <t>Связь и интернет</t>
        </is>
      </c>
      <c r="B37" s="117">
        <f>Параметры!$B$58</f>
        <v/>
      </c>
      <c r="C37" s="117">
        <f>Параметры!$B$58</f>
        <v/>
      </c>
      <c r="D37" s="117">
        <f>Параметры!$B$58</f>
        <v/>
      </c>
      <c r="E37" s="117">
        <f>Параметры!$B$58</f>
        <v/>
      </c>
      <c r="F37" s="117">
        <f>Параметры!$B$58</f>
        <v/>
      </c>
      <c r="G37" s="117">
        <f>Параметры!$B$58</f>
        <v/>
      </c>
      <c r="H37" s="117">
        <f>Параметры!$B$58</f>
        <v/>
      </c>
      <c r="I37" s="117">
        <f>Параметры!$B$58</f>
        <v/>
      </c>
      <c r="J37" s="117">
        <f>Параметры!$B$58</f>
        <v/>
      </c>
      <c r="K37" s="117">
        <f>Параметры!$B$58</f>
        <v/>
      </c>
      <c r="L37" s="117">
        <f>Параметры!$B$58</f>
        <v/>
      </c>
      <c r="M37" s="117">
        <f>Параметры!$B$58</f>
        <v/>
      </c>
      <c r="N37" s="117">
        <f>Параметры!$B$58</f>
        <v/>
      </c>
      <c r="O37" s="117">
        <f>Параметры!$B$58</f>
        <v/>
      </c>
      <c r="P37" s="117">
        <f>Параметры!$B$58</f>
        <v/>
      </c>
      <c r="Q37" s="117">
        <f>Параметры!$B$58</f>
        <v/>
      </c>
      <c r="R37" s="117">
        <f>Параметры!$B$58</f>
        <v/>
      </c>
      <c r="S37" s="117">
        <f>Параметры!$B$58</f>
        <v/>
      </c>
      <c r="T37" s="117">
        <f>Параметры!$B$58</f>
        <v/>
      </c>
      <c r="U37" s="117">
        <f>Параметры!$B$58</f>
        <v/>
      </c>
      <c r="V37" s="117">
        <f>Параметры!$B$58</f>
        <v/>
      </c>
      <c r="W37" s="117">
        <f>Параметры!$B$58</f>
        <v/>
      </c>
      <c r="X37" s="117">
        <f>Параметры!$B$58</f>
        <v/>
      </c>
      <c r="Y37" s="117">
        <f>Параметры!$B$58</f>
        <v/>
      </c>
      <c r="Z37" s="118">
        <f>SUM(B37:Y37)</f>
        <v/>
      </c>
      <c r="AA37" s="6" t="n"/>
      <c r="AB37" s="6" t="n"/>
    </row>
    <row r="38" ht="15" customHeight="1" s="92">
      <c r="A38" s="68" t="inlineStr">
        <is>
          <t>ИТОГО админастративные расходы</t>
        </is>
      </c>
      <c r="B38" s="69">
        <f>SUM(B35:B37)</f>
        <v/>
      </c>
      <c r="C38" s="69">
        <f>SUM(C35:C37)</f>
        <v/>
      </c>
      <c r="D38" s="69">
        <f>SUM(D35:D37)</f>
        <v/>
      </c>
      <c r="E38" s="69">
        <f>SUM(E35:E37)</f>
        <v/>
      </c>
      <c r="F38" s="69">
        <f>SUM(F35:F37)</f>
        <v/>
      </c>
      <c r="G38" s="69">
        <f>SUM(G35:G37)</f>
        <v/>
      </c>
      <c r="H38" s="69">
        <f>SUM(H35:H37)</f>
        <v/>
      </c>
      <c r="I38" s="69">
        <f>SUM(I35:I37)</f>
        <v/>
      </c>
      <c r="J38" s="69">
        <f>SUM(J35:J37)</f>
        <v/>
      </c>
      <c r="K38" s="69">
        <f>SUM(K35:K37)</f>
        <v/>
      </c>
      <c r="L38" s="69">
        <f>SUM(L35:L37)</f>
        <v/>
      </c>
      <c r="M38" s="69">
        <f>SUM(M35:M37)</f>
        <v/>
      </c>
      <c r="N38" s="69">
        <f>SUM(N35:N37)</f>
        <v/>
      </c>
      <c r="O38" s="69">
        <f>SUM(O35:O37)</f>
        <v/>
      </c>
      <c r="P38" s="69">
        <f>SUM(P35:P37)</f>
        <v/>
      </c>
      <c r="Q38" s="69">
        <f>SUM(Q35:Q37)</f>
        <v/>
      </c>
      <c r="R38" s="69">
        <f>SUM(R35:R37)</f>
        <v/>
      </c>
      <c r="S38" s="69">
        <f>SUM(S35:S37)</f>
        <v/>
      </c>
      <c r="T38" s="69">
        <f>SUM(T35:T37)</f>
        <v/>
      </c>
      <c r="U38" s="69">
        <f>SUM(U35:U37)</f>
        <v/>
      </c>
      <c r="V38" s="69">
        <f>SUM(V35:V37)</f>
        <v/>
      </c>
      <c r="W38" s="69">
        <f>SUM(W35:W37)</f>
        <v/>
      </c>
      <c r="X38" s="69">
        <f>SUM(X35:X37)</f>
        <v/>
      </c>
      <c r="Y38" s="69">
        <f>SUM(Y35:Y37)</f>
        <v/>
      </c>
      <c r="Z38" s="66">
        <f>SUM(B38:Y38)</f>
        <v/>
      </c>
      <c r="AA38" s="6" t="n"/>
      <c r="AB38" s="6" t="n"/>
    </row>
    <row r="39" ht="15" customHeight="1" s="92">
      <c r="A39" s="70" t="inlineStr">
        <is>
          <t>Себестоимость товара (пошив, печать, закупка)</t>
        </is>
      </c>
      <c r="B39" s="119">
        <f>B50+IF(Параметры!$B$61=1,C50,0)</f>
        <v/>
      </c>
      <c r="C39" s="119">
        <f>C50</f>
        <v/>
      </c>
      <c r="D39" s="119">
        <f>D50</f>
        <v/>
      </c>
      <c r="E39" s="119">
        <f>E50</f>
        <v/>
      </c>
      <c r="F39" s="119">
        <f>F50</f>
        <v/>
      </c>
      <c r="G39" s="119">
        <f>G50</f>
        <v/>
      </c>
      <c r="H39" s="119">
        <f>H50</f>
        <v/>
      </c>
      <c r="I39" s="119">
        <f>I50</f>
        <v/>
      </c>
      <c r="J39" s="119">
        <f>J50</f>
        <v/>
      </c>
      <c r="K39" s="119">
        <f>K50</f>
        <v/>
      </c>
      <c r="L39" s="119">
        <f>L50</f>
        <v/>
      </c>
      <c r="M39" s="119">
        <f>M50</f>
        <v/>
      </c>
      <c r="N39" s="119">
        <f>N50</f>
        <v/>
      </c>
      <c r="O39" s="119">
        <f>O50</f>
        <v/>
      </c>
      <c r="P39" s="119">
        <f>P50</f>
        <v/>
      </c>
      <c r="Q39" s="119">
        <f>Q50</f>
        <v/>
      </c>
      <c r="R39" s="119">
        <f>R50</f>
        <v/>
      </c>
      <c r="S39" s="119">
        <f>S50</f>
        <v/>
      </c>
      <c r="T39" s="119">
        <f>T50</f>
        <v/>
      </c>
      <c r="U39" s="119">
        <f>U50</f>
        <v/>
      </c>
      <c r="V39" s="119">
        <f>V50</f>
        <v/>
      </c>
      <c r="W39" s="119">
        <f>W50</f>
        <v/>
      </c>
      <c r="X39" s="119">
        <f>X50</f>
        <v/>
      </c>
      <c r="Y39" s="119">
        <f>Y50</f>
        <v/>
      </c>
      <c r="Z39" s="120">
        <f>SUM(B39:Y39)</f>
        <v/>
      </c>
      <c r="AA39" s="6" t="n"/>
      <c r="AB39" s="6" t="n"/>
    </row>
    <row r="40" ht="15" customHeight="1" s="92">
      <c r="A40" s="70" t="inlineStr">
        <is>
          <t>Логистика и фулфилмент</t>
        </is>
      </c>
      <c r="B40" s="119">
        <f>ROUND((B3+B6+B9)*Параметры!$B$59,0)</f>
        <v/>
      </c>
      <c r="C40" s="119">
        <f>ROUND((C3+C6+C9)*Параметры!$B$59,0)</f>
        <v/>
      </c>
      <c r="D40" s="119">
        <f>ROUND((D3+D6+D9)*Параметры!$B$59,0)</f>
        <v/>
      </c>
      <c r="E40" s="119">
        <f>ROUND((E3+E6+E9)*Параметры!$B$59,0)</f>
        <v/>
      </c>
      <c r="F40" s="119">
        <f>ROUND((F3+F6+F9)*Параметры!$B$59,0)</f>
        <v/>
      </c>
      <c r="G40" s="119">
        <f>ROUND((G3+G6+G9)*Параметры!$B$59,0)</f>
        <v/>
      </c>
      <c r="H40" s="119">
        <f>ROUND((H3+H6+H9)*Параметры!$B$59,0)</f>
        <v/>
      </c>
      <c r="I40" s="119">
        <f>ROUND((I3+I6+I9)*Параметры!$B$59,0)</f>
        <v/>
      </c>
      <c r="J40" s="119">
        <f>ROUND((J3+J6+J9)*Параметры!$B$59,0)</f>
        <v/>
      </c>
      <c r="K40" s="119">
        <f>ROUND((K3+K6+K9)*Параметры!$B$59,0)</f>
        <v/>
      </c>
      <c r="L40" s="119">
        <f>ROUND((L3+L6+L9)*Параметры!$B$59,0)</f>
        <v/>
      </c>
      <c r="M40" s="119">
        <f>ROUND((M3+M6+M9)*Параметры!$B$59,0)</f>
        <v/>
      </c>
      <c r="N40" s="119">
        <f>ROUND((N3+N6+N9)*Параметры!$B$59,0)</f>
        <v/>
      </c>
      <c r="O40" s="119">
        <f>ROUND((O3+O6+O9)*Параметры!$B$59,0)</f>
        <v/>
      </c>
      <c r="P40" s="119">
        <f>ROUND((P3+P6+P9)*Параметры!$B$59,0)</f>
        <v/>
      </c>
      <c r="Q40" s="119">
        <f>ROUND((Q3+Q6+Q9)*Параметры!$B$59,0)</f>
        <v/>
      </c>
      <c r="R40" s="119">
        <f>ROUND((R3+R6+R9)*Параметры!$B$59,0)</f>
        <v/>
      </c>
      <c r="S40" s="119">
        <f>ROUND((S3+S6+S9)*Параметры!$B$59,0)</f>
        <v/>
      </c>
      <c r="T40" s="119">
        <f>ROUND((T3+T6+T9)*Параметры!$B$59,0)</f>
        <v/>
      </c>
      <c r="U40" s="119">
        <f>ROUND((U3+U6+U9)*Параметры!$B$59,0)</f>
        <v/>
      </c>
      <c r="V40" s="119">
        <f>ROUND((V3+V6+V9)*Параметры!$B$59,0)</f>
        <v/>
      </c>
      <c r="W40" s="119">
        <f>ROUND((W3+W6+W9)*Параметры!$B$59,0)</f>
        <v/>
      </c>
      <c r="X40" s="119">
        <f>ROUND((X3+X6+X9)*Параметры!$B$59,0)</f>
        <v/>
      </c>
      <c r="Y40" s="119">
        <f>ROUND((Y3+Y6+Y9)*Параметры!$B$59,0)</f>
        <v/>
      </c>
      <c r="Z40" s="120">
        <f>SUM(B40:Y40)</f>
        <v/>
      </c>
      <c r="AA40" s="6" t="n"/>
      <c r="AB40" s="6" t="n"/>
    </row>
    <row r="41" ht="15" customHeight="1" s="92">
      <c r="A41" s="70" t="inlineStr">
        <is>
          <t>Упаковка, брак и возвраты</t>
        </is>
      </c>
      <c r="B41" s="119">
        <f>ROUND((B3+B6)*Параметры!$B$60,0)</f>
        <v/>
      </c>
      <c r="C41" s="119">
        <f>ROUND((C3+C6)*Параметры!$B$60,0)</f>
        <v/>
      </c>
      <c r="D41" s="119">
        <f>ROUND((D3+D6)*Параметры!$B$60,0)</f>
        <v/>
      </c>
      <c r="E41" s="119">
        <f>ROUND((E3+E6)*Параметры!$B$60,0)</f>
        <v/>
      </c>
      <c r="F41" s="119">
        <f>ROUND((F3+F6)*Параметры!$B$60,0)</f>
        <v/>
      </c>
      <c r="G41" s="119">
        <f>ROUND((G3+G6)*Параметры!$B$60,0)</f>
        <v/>
      </c>
      <c r="H41" s="119">
        <f>ROUND((H3+H6)*Параметры!$B$60,0)</f>
        <v/>
      </c>
      <c r="I41" s="119">
        <f>ROUND((I3+I6)*Параметры!$B$60,0)</f>
        <v/>
      </c>
      <c r="J41" s="119">
        <f>ROUND((J3+J6)*Параметры!$B$60,0)</f>
        <v/>
      </c>
      <c r="K41" s="119">
        <f>ROUND((K3+K6)*Параметры!$B$60,0)</f>
        <v/>
      </c>
      <c r="L41" s="119">
        <f>ROUND((L3+L6)*Параметры!$B$60,0)</f>
        <v/>
      </c>
      <c r="M41" s="119">
        <f>ROUND((M3+M6)*Параметры!$B$60,0)</f>
        <v/>
      </c>
      <c r="N41" s="119">
        <f>ROUND((N3+N6)*Параметры!$B$60,0)</f>
        <v/>
      </c>
      <c r="O41" s="119">
        <f>ROUND((O3+O6)*Параметры!$B$60,0)</f>
        <v/>
      </c>
      <c r="P41" s="119">
        <f>ROUND((P3+P6)*Параметры!$B$60,0)</f>
        <v/>
      </c>
      <c r="Q41" s="119">
        <f>ROUND((Q3+Q6)*Параметры!$B$60,0)</f>
        <v/>
      </c>
      <c r="R41" s="119">
        <f>ROUND((R3+R6)*Параметры!$B$60,0)</f>
        <v/>
      </c>
      <c r="S41" s="119">
        <f>ROUND((S3+S6)*Параметры!$B$60,0)</f>
        <v/>
      </c>
      <c r="T41" s="119">
        <f>ROUND((T3+T6)*Параметры!$B$60,0)</f>
        <v/>
      </c>
      <c r="U41" s="119">
        <f>ROUND((U3+U6)*Параметры!$B$60,0)</f>
        <v/>
      </c>
      <c r="V41" s="119">
        <f>ROUND((V3+V6)*Параметры!$B$60,0)</f>
        <v/>
      </c>
      <c r="W41" s="119">
        <f>ROUND((W3+W6)*Параметры!$B$60,0)</f>
        <v/>
      </c>
      <c r="X41" s="119">
        <f>ROUND((X3+X6)*Параметры!$B$60,0)</f>
        <v/>
      </c>
      <c r="Y41" s="119">
        <f>ROUND((Y3+Y6)*Параметры!$B$60,0)</f>
        <v/>
      </c>
      <c r="Z41" s="120">
        <f>SUM(B41:Y41)</f>
        <v/>
      </c>
      <c r="AA41" s="6" t="n"/>
      <c r="AB41" s="6" t="n"/>
    </row>
    <row r="42" ht="15" customHeight="1" s="92">
      <c r="A42" s="73" t="inlineStr">
        <is>
          <t>ИТОГО прочие расходы</t>
        </is>
      </c>
      <c r="B42" s="71">
        <f>SUM(B39:B41)</f>
        <v/>
      </c>
      <c r="C42" s="71">
        <f>SUM(C39:C41)</f>
        <v/>
      </c>
      <c r="D42" s="71">
        <f>SUM(D39:D41)</f>
        <v/>
      </c>
      <c r="E42" s="71">
        <f>SUM(E39:E41)</f>
        <v/>
      </c>
      <c r="F42" s="71">
        <f>SUM(F39:F41)</f>
        <v/>
      </c>
      <c r="G42" s="71">
        <f>SUM(G39:G41)</f>
        <v/>
      </c>
      <c r="H42" s="71">
        <f>SUM(H39:H41)</f>
        <v/>
      </c>
      <c r="I42" s="71">
        <f>SUM(I39:I41)</f>
        <v/>
      </c>
      <c r="J42" s="71">
        <f>SUM(J39:J41)</f>
        <v/>
      </c>
      <c r="K42" s="71">
        <f>SUM(K39:K41)</f>
        <v/>
      </c>
      <c r="L42" s="71">
        <f>SUM(L39:L41)</f>
        <v/>
      </c>
      <c r="M42" s="71">
        <f>SUM(M39:M41)</f>
        <v/>
      </c>
      <c r="N42" s="71">
        <f>SUM(N39:N41)</f>
        <v/>
      </c>
      <c r="O42" s="71">
        <f>SUM(O39:O41)</f>
        <v/>
      </c>
      <c r="P42" s="71">
        <f>SUM(P39:P41)</f>
        <v/>
      </c>
      <c r="Q42" s="71">
        <f>SUM(Q39:Q41)</f>
        <v/>
      </c>
      <c r="R42" s="71">
        <f>SUM(R39:R41)</f>
        <v/>
      </c>
      <c r="S42" s="71">
        <f>SUM(S39:S41)</f>
        <v/>
      </c>
      <c r="T42" s="71">
        <f>SUM(T39:T41)</f>
        <v/>
      </c>
      <c r="U42" s="71">
        <f>SUM(U39:U41)</f>
        <v/>
      </c>
      <c r="V42" s="71">
        <f>SUM(V39:V41)</f>
        <v/>
      </c>
      <c r="W42" s="71">
        <f>SUM(W39:W41)</f>
        <v/>
      </c>
      <c r="X42" s="71">
        <f>SUM(X39:X41)</f>
        <v/>
      </c>
      <c r="Y42" s="71">
        <f>SUM(Y39:Y41)</f>
        <v/>
      </c>
      <c r="Z42" s="72">
        <f>SUM(B42:Y42)</f>
        <v/>
      </c>
      <c r="AA42" s="6" t="n"/>
      <c r="AB42" s="6" t="n"/>
    </row>
    <row r="43" ht="15" customHeight="1" s="92">
      <c r="A43" s="74" t="inlineStr">
        <is>
          <t>ВОЗВРАТ ИНВЕСТИЦИЙ</t>
        </is>
      </c>
      <c r="B43" s="121">
        <f>MIN(B49,ROUND(MAX(0,B53)*Параметры!$B$72,0),MAX(0,Параметры!$B$76+(B3+B6+B9)-(B17+B22+B26+B34+B38+B42)-Параметры!$B$70))</f>
        <v/>
      </c>
      <c r="C43" s="121">
        <f>MIN(C49,ROUND(MAX(0,C53)*Параметры!$B$72,0),MAX(0,B46+(C3+C6+C9)-(C17+C22+C26+C34+C38+C42)-Параметры!$B$70))</f>
        <v/>
      </c>
      <c r="D43" s="121">
        <f>MIN(D49,ROUND(MAX(0,D53)*Параметры!$B$72,0),MAX(0,C46+(D3+D6+D9)-(D17+D22+D26+D34+D38+D42)-Параметры!$B$70))</f>
        <v/>
      </c>
      <c r="E43" s="121">
        <f>MIN(E49,ROUND(MAX(0,E53)*Параметры!$B$72,0),MAX(0,D46+(E3+E6+E9)-(E17+E22+E26+E34+E38+E42)-Параметры!$B$70))</f>
        <v/>
      </c>
      <c r="F43" s="121">
        <f>MIN(F49,ROUND(MAX(0,F53)*Параметры!$B$72,0),MAX(0,E46+(F3+F6+F9)-(F17+F22+F26+F34+F38+F42)-Параметры!$B$70))</f>
        <v/>
      </c>
      <c r="G43" s="121">
        <f>MIN(G49,ROUND(MAX(0,G53)*Параметры!$B$72,0),MAX(0,F46+(G3+G6+G9)-(G17+G22+G26+G34+G38+G42)-Параметры!$B$70))</f>
        <v/>
      </c>
      <c r="H43" s="121">
        <f>MIN(H49,ROUND(MAX(0,H53)*Параметры!$B$72,0),MAX(0,G46+(H3+H6+H9)-(H17+H22+H26+H34+H38+H42)-Параметры!$B$70))</f>
        <v/>
      </c>
      <c r="I43" s="121">
        <f>MIN(I49,ROUND(MAX(0,I53)*Параметры!$B$72,0),MAX(0,H46+(I3+I6+I9)-(I17+I22+I26+I34+I38+I42)-Параметры!$B$70))</f>
        <v/>
      </c>
      <c r="J43" s="121">
        <f>MIN(J49,ROUND(MAX(0,J53)*Параметры!$B$72,0),MAX(0,I46+(J3+J6+J9)-(J17+J22+J26+J34+J38+J42)-Параметры!$B$70))</f>
        <v/>
      </c>
      <c r="K43" s="121">
        <f>MIN(K49,ROUND(MAX(0,K53)*Параметры!$B$72,0),MAX(0,J46+(K3+K6+K9)-(K17+K22+K26+K34+K38+K42)-Параметры!$B$70))</f>
        <v/>
      </c>
      <c r="L43" s="121">
        <f>MIN(L49,ROUND(MAX(0,L53)*Параметры!$B$72,0),MAX(0,K46+(L3+L6+L9)-(L17+L22+L26+L34+L38+L42)-Параметры!$B$70))</f>
        <v/>
      </c>
      <c r="M43" s="121">
        <f>MIN(M49,ROUND(MAX(0,M53)*Параметры!$B$72,0),MAX(0,L46+(M3+M6+M9)-(M17+M22+M26+M34+M38+M42)-Параметры!$B$70))</f>
        <v/>
      </c>
      <c r="N43" s="121">
        <f>MIN(N49,ROUND(MAX(0,N53)*Параметры!$B$72,0),MAX(0,M46+(N3+N6+N9)-(N17+N22+N26+N34+N38+N42)-Параметры!$B$70))</f>
        <v/>
      </c>
      <c r="O43" s="121">
        <f>MIN(O49,ROUND(MAX(0,O53)*Параметры!$B$72,0),MAX(0,N46+(O3+O6+O9)-(O17+O22+O26+O34+O38+O42)-Параметры!$B$70))</f>
        <v/>
      </c>
      <c r="P43" s="121">
        <f>MIN(P49,ROUND(MAX(0,P53)*Параметры!$B$72,0),MAX(0,O46+(P3+P6+P9)-(P17+P22+P26+P34+P38+P42)-Параметры!$B$70))</f>
        <v/>
      </c>
      <c r="Q43" s="121">
        <f>MIN(Q49,ROUND(MAX(0,Q53)*Параметры!$B$72,0),MAX(0,P46+(Q3+Q6+Q9)-(Q17+Q22+Q26+Q34+Q38+Q42)-Параметры!$B$70))</f>
        <v/>
      </c>
      <c r="R43" s="121">
        <f>MIN(R49,ROUND(MAX(0,R53)*Параметры!$B$72,0),MAX(0,Q46+(R3+R6+R9)-(R17+R22+R26+R34+R38+R42)-Параметры!$B$70))</f>
        <v/>
      </c>
      <c r="S43" s="121">
        <f>MIN(S49,ROUND(MAX(0,S53)*Параметры!$B$72,0),MAX(0,R46+(S3+S6+S9)-(S17+S22+S26+S34+S38+S42)-Параметры!$B$70))</f>
        <v/>
      </c>
      <c r="T43" s="121">
        <f>MIN(T49,ROUND(MAX(0,T53)*Параметры!$B$72,0),MAX(0,S46+(T3+T6+T9)-(T17+T22+T26+T34+T38+T42)-Параметры!$B$70))</f>
        <v/>
      </c>
      <c r="U43" s="121">
        <f>MIN(U49,ROUND(MAX(0,U53)*Параметры!$B$72,0),MAX(0,T46+(U3+U6+U9)-(U17+U22+U26+U34+U38+U42)-Параметры!$B$70))</f>
        <v/>
      </c>
      <c r="V43" s="121">
        <f>MIN(V49,ROUND(MAX(0,V53)*Параметры!$B$72,0),MAX(0,U46+(V3+V6+V9)-(V17+V22+V26+V34+V38+V42)-Параметры!$B$70))</f>
        <v/>
      </c>
      <c r="W43" s="121">
        <f>MIN(W49,ROUND(MAX(0,W53)*Параметры!$B$72,0),MAX(0,V46+(W3+W6+W9)-(W17+W22+W26+W34+W38+W42)-Параметры!$B$70))</f>
        <v/>
      </c>
      <c r="X43" s="121">
        <f>MIN(X49,ROUND(MAX(0,X53)*Параметры!$B$72,0),MAX(0,W46+(X3+X6+X9)-(X17+X22+X26+X34+X38+X42)-Параметры!$B$70))</f>
        <v/>
      </c>
      <c r="Y43" s="121">
        <f>MIN(Y49,ROUND(MAX(0,Y53)*Параметры!$B$72,0),MAX(0,X46+(Y3+Y6+Y9)-(Y17+Y22+Y26+Y34+Y38+Y42)-Параметры!$B$70))</f>
        <v/>
      </c>
      <c r="Z43" s="122">
        <f>SUM(B43:Y43)</f>
        <v/>
      </c>
      <c r="AA43" s="78">
        <f>ROUND($Z$10*Параметры!$B$71,0)-$Z$43</f>
        <v/>
      </c>
      <c r="AB43" s="79" t="inlineStr">
        <is>
          <t>осталось вернуть инвестиций</t>
        </is>
      </c>
    </row>
    <row r="44" ht="15" customHeight="1" s="92">
      <c r="A44" s="80" t="inlineStr">
        <is>
          <t>РАСХОД ИТОГО</t>
        </is>
      </c>
      <c r="B44" s="81">
        <f>SUM(B43,B42,B38,B34,B26,B22,B17)</f>
        <v/>
      </c>
      <c r="C44" s="81">
        <f>SUM(C43,C42,C38,C34,C26,C22,C17)</f>
        <v/>
      </c>
      <c r="D44" s="81">
        <f>SUM(D43,D42,D38,D34,D26,D22,D17)</f>
        <v/>
      </c>
      <c r="E44" s="81">
        <f>SUM(E43,E42,E38,E34,E26,E22,E17)</f>
        <v/>
      </c>
      <c r="F44" s="81">
        <f>SUM(F43,F42,F38,F34,F26,F22,F17)</f>
        <v/>
      </c>
      <c r="G44" s="81">
        <f>SUM(G43,G42,G38,G34,G26,G22,G17)</f>
        <v/>
      </c>
      <c r="H44" s="81">
        <f>SUM(H43,H42,H38,H34,H26,H22,H17)</f>
        <v/>
      </c>
      <c r="I44" s="81">
        <f>SUM(I43,I42,I38,I34,I26,I22,I17)</f>
        <v/>
      </c>
      <c r="J44" s="81">
        <f>SUM(J43,J42,J38,J34,J26,J22,J17)</f>
        <v/>
      </c>
      <c r="K44" s="81">
        <f>SUM(K43,K42,K38,K34,K26,K22,K17)</f>
        <v/>
      </c>
      <c r="L44" s="81">
        <f>SUM(L43,L42,L38,L34,L26,L22,L17)</f>
        <v/>
      </c>
      <c r="M44" s="81">
        <f>SUM(M43,M42,M38,M34,M26,M22,M17)</f>
        <v/>
      </c>
      <c r="N44" s="81">
        <f>SUM(N43,N42,N38,N34,N26,N22,N17)</f>
        <v/>
      </c>
      <c r="O44" s="81">
        <f>SUM(O43,O42,O38,O34,O26,O22,O17)</f>
        <v/>
      </c>
      <c r="P44" s="81">
        <f>SUM(P43,P42,P38,P34,P26,P22,P17)</f>
        <v/>
      </c>
      <c r="Q44" s="81">
        <f>SUM(Q43,Q42,Q38,Q34,Q26,Q22,Q17)</f>
        <v/>
      </c>
      <c r="R44" s="81">
        <f>SUM(R43,R42,R38,R34,R26,R22,R17)</f>
        <v/>
      </c>
      <c r="S44" s="81">
        <f>SUM(S43,S42,S38,S34,S26,S22,S17)</f>
        <v/>
      </c>
      <c r="T44" s="81">
        <f>SUM(T43,T42,T38,T34,T26,T22,T17)</f>
        <v/>
      </c>
      <c r="U44" s="81">
        <f>SUM(U43,U42,U38,U34,U26,U22,U17)</f>
        <v/>
      </c>
      <c r="V44" s="81">
        <f>SUM(V43,V42,V38,V34,V26,V22,V17)</f>
        <v/>
      </c>
      <c r="W44" s="81">
        <f>SUM(W43,W42,W38,W34,W26,W22,W17)</f>
        <v/>
      </c>
      <c r="X44" s="81">
        <f>SUM(X43,X42,X38,X34,X26,X22,X17)</f>
        <v/>
      </c>
      <c r="Y44" s="81">
        <f>SUM(Y43,Y42,Y38,Y34,Y26,Y22,Y17)</f>
        <v/>
      </c>
      <c r="Z44" s="82">
        <f>SUM(B44:Y44)</f>
        <v/>
      </c>
      <c r="AA44" s="6" t="n"/>
      <c r="AB44" s="6" t="n"/>
    </row>
    <row r="45" ht="18" customHeight="1" s="92">
      <c r="A45" s="83" t="inlineStr">
        <is>
          <t>Сальдо</t>
        </is>
      </c>
      <c r="B45" s="84">
        <f>B11-B44</f>
        <v/>
      </c>
      <c r="C45" s="84">
        <f>C11-C44</f>
        <v/>
      </c>
      <c r="D45" s="84">
        <f>D11-D44</f>
        <v/>
      </c>
      <c r="E45" s="84">
        <f>E11-E44</f>
        <v/>
      </c>
      <c r="F45" s="84">
        <f>F11-F44</f>
        <v/>
      </c>
      <c r="G45" s="84">
        <f>G11-G44</f>
        <v/>
      </c>
      <c r="H45" s="84">
        <f>H11-H44</f>
        <v/>
      </c>
      <c r="I45" s="84">
        <f>I11-I44</f>
        <v/>
      </c>
      <c r="J45" s="84">
        <f>J11-J44</f>
        <v/>
      </c>
      <c r="K45" s="84">
        <f>K11-K44</f>
        <v/>
      </c>
      <c r="L45" s="84">
        <f>L11-L44</f>
        <v/>
      </c>
      <c r="M45" s="84">
        <f>M11-M44</f>
        <v/>
      </c>
      <c r="N45" s="84">
        <f>N11-N44</f>
        <v/>
      </c>
      <c r="O45" s="84">
        <f>O11-O44</f>
        <v/>
      </c>
      <c r="P45" s="84">
        <f>P11-P44</f>
        <v/>
      </c>
      <c r="Q45" s="84">
        <f>Q11-Q44</f>
        <v/>
      </c>
      <c r="R45" s="84">
        <f>R11-R44</f>
        <v/>
      </c>
      <c r="S45" s="84">
        <f>S11-S44</f>
        <v/>
      </c>
      <c r="T45" s="84">
        <f>T11-T44</f>
        <v/>
      </c>
      <c r="U45" s="84">
        <f>U11-U44</f>
        <v/>
      </c>
      <c r="V45" s="84">
        <f>V11-V44</f>
        <v/>
      </c>
      <c r="W45" s="84">
        <f>W11-W44</f>
        <v/>
      </c>
      <c r="X45" s="84">
        <f>X11-X44</f>
        <v/>
      </c>
      <c r="Y45" s="84">
        <f>Y11-Y44</f>
        <v/>
      </c>
      <c r="Z45" s="85">
        <f>SUM(B45:Y45)</f>
        <v/>
      </c>
      <c r="AA45" s="6" t="n"/>
      <c r="AB45" s="6" t="n"/>
    </row>
    <row r="46" ht="18.75" customHeight="1" s="92">
      <c r="A46" s="86" t="inlineStr">
        <is>
          <t>Ден. Поток</t>
        </is>
      </c>
      <c r="B46" s="87">
        <f>B47+B45</f>
        <v/>
      </c>
      <c r="C46" s="88">
        <f>B46+C45</f>
        <v/>
      </c>
      <c r="D46" s="88">
        <f>C46+D45</f>
        <v/>
      </c>
      <c r="E46" s="88">
        <f>D46+E45</f>
        <v/>
      </c>
      <c r="F46" s="88">
        <f>E46+F45</f>
        <v/>
      </c>
      <c r="G46" s="88">
        <f>F46+G45</f>
        <v/>
      </c>
      <c r="H46" s="88">
        <f>G46+H45</f>
        <v/>
      </c>
      <c r="I46" s="88">
        <f>H46+I45</f>
        <v/>
      </c>
      <c r="J46" s="88">
        <f>I46+J45</f>
        <v/>
      </c>
      <c r="K46" s="88">
        <f>J46+K45</f>
        <v/>
      </c>
      <c r="L46" s="88">
        <f>K46+L45</f>
        <v/>
      </c>
      <c r="M46" s="88">
        <f>L46+M45</f>
        <v/>
      </c>
      <c r="N46" s="88">
        <f>M46+N45</f>
        <v/>
      </c>
      <c r="O46" s="88">
        <f>N46+O45</f>
        <v/>
      </c>
      <c r="P46" s="88">
        <f>O46+P45</f>
        <v/>
      </c>
      <c r="Q46" s="88">
        <f>P46+Q45</f>
        <v/>
      </c>
      <c r="R46" s="88">
        <f>Q46+R45</f>
        <v/>
      </c>
      <c r="S46" s="88">
        <f>R46+S45</f>
        <v/>
      </c>
      <c r="T46" s="88">
        <f>S46+T45</f>
        <v/>
      </c>
      <c r="U46" s="88">
        <f>T46+U45</f>
        <v/>
      </c>
      <c r="V46" s="88">
        <f>U46+V45</f>
        <v/>
      </c>
      <c r="W46" s="88">
        <f>V46+W45</f>
        <v/>
      </c>
      <c r="X46" s="88">
        <f>W46+X45</f>
        <v/>
      </c>
      <c r="Y46" s="88">
        <f>X46+Y45</f>
        <v/>
      </c>
      <c r="Z46" s="89" t="n"/>
      <c r="AA46" s="6" t="n"/>
      <c r="AB46" s="6" t="n"/>
    </row>
    <row r="47" ht="19.5" customHeight="1" s="92">
      <c r="A47" s="90" t="inlineStr">
        <is>
          <t>Сальдо на начало периода</t>
        </is>
      </c>
      <c r="B47" s="123">
        <f>Параметры!$B$76</f>
        <v/>
      </c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</row>
    <row r="48" ht="19.5" customHeight="1" s="92">
      <c r="A48" s="124" t="inlineStr">
        <is>
          <t>№ месяца</t>
        </is>
      </c>
      <c r="B48" s="125">
        <f>1</f>
        <v/>
      </c>
      <c r="C48" s="125">
        <f>B48+1</f>
        <v/>
      </c>
      <c r="D48" s="125">
        <f>C48+1</f>
        <v/>
      </c>
      <c r="E48" s="125">
        <f>D48+1</f>
        <v/>
      </c>
      <c r="F48" s="125">
        <f>E48+1</f>
        <v/>
      </c>
      <c r="G48" s="125">
        <f>F48+1</f>
        <v/>
      </c>
      <c r="H48" s="125">
        <f>G48+1</f>
        <v/>
      </c>
      <c r="I48" s="125">
        <f>H48+1</f>
        <v/>
      </c>
      <c r="J48" s="125">
        <f>I48+1</f>
        <v/>
      </c>
      <c r="K48" s="125">
        <f>J48+1</f>
        <v/>
      </c>
      <c r="L48" s="125">
        <f>K48+1</f>
        <v/>
      </c>
      <c r="M48" s="125">
        <f>L48+1</f>
        <v/>
      </c>
      <c r="N48" s="125">
        <f>M48+1</f>
        <v/>
      </c>
      <c r="O48" s="125">
        <f>N48+1</f>
        <v/>
      </c>
      <c r="P48" s="125">
        <f>O48+1</f>
        <v/>
      </c>
      <c r="Q48" s="125">
        <f>P48+1</f>
        <v/>
      </c>
      <c r="R48" s="125">
        <f>Q48+1</f>
        <v/>
      </c>
      <c r="S48" s="125">
        <f>R48+1</f>
        <v/>
      </c>
      <c r="T48" s="125">
        <f>S48+1</f>
        <v/>
      </c>
      <c r="U48" s="125">
        <f>T48+1</f>
        <v/>
      </c>
      <c r="V48" s="125">
        <f>U48+1</f>
        <v/>
      </c>
      <c r="W48" s="125">
        <f>V48+1</f>
        <v/>
      </c>
      <c r="X48" s="125">
        <f>W48+1</f>
        <v/>
      </c>
      <c r="Y48" s="125">
        <f>X48+1</f>
        <v/>
      </c>
      <c r="Z48" s="6" t="n"/>
      <c r="AA48" s="6" t="n"/>
      <c r="AB48" s="6" t="n"/>
    </row>
    <row r="49" ht="19.5" customHeight="1" s="92">
      <c r="A49" s="124" t="inlineStr">
        <is>
          <t>Обязательство перед инвестором на начало месяца</t>
        </is>
      </c>
      <c r="B49" s="126">
        <f>0</f>
        <v/>
      </c>
      <c r="C49" s="126">
        <f>B49-B43+ROUND(B10*Параметры!$B$71,0)</f>
        <v/>
      </c>
      <c r="D49" s="126">
        <f>C49-C43+ROUND(C10*Параметры!$B$71,0)</f>
        <v/>
      </c>
      <c r="E49" s="126">
        <f>D49-D43+ROUND(D10*Параметры!$B$71,0)</f>
        <v/>
      </c>
      <c r="F49" s="126">
        <f>E49-E43+ROUND(E10*Параметры!$B$71,0)</f>
        <v/>
      </c>
      <c r="G49" s="126">
        <f>F49-F43+ROUND(F10*Параметры!$B$71,0)</f>
        <v/>
      </c>
      <c r="H49" s="126">
        <f>G49-G43+ROUND(G10*Параметры!$B$71,0)</f>
        <v/>
      </c>
      <c r="I49" s="126">
        <f>H49-H43+ROUND(H10*Параметры!$B$71,0)</f>
        <v/>
      </c>
      <c r="J49" s="126">
        <f>I49-I43+ROUND(I10*Параметры!$B$71,0)</f>
        <v/>
      </c>
      <c r="K49" s="126">
        <f>J49-J43+ROUND(J10*Параметры!$B$71,0)</f>
        <v/>
      </c>
      <c r="L49" s="126">
        <f>K49-K43+ROUND(K10*Параметры!$B$71,0)</f>
        <v/>
      </c>
      <c r="M49" s="126">
        <f>L49-L43+ROUND(L10*Параметры!$B$71,0)</f>
        <v/>
      </c>
      <c r="N49" s="126">
        <f>M49-M43+ROUND(M10*Параметры!$B$71,0)</f>
        <v/>
      </c>
      <c r="O49" s="126">
        <f>N49-N43+ROUND(N10*Параметры!$B$71,0)</f>
        <v/>
      </c>
      <c r="P49" s="126">
        <f>O49-O43+ROUND(O10*Параметры!$B$71,0)</f>
        <v/>
      </c>
      <c r="Q49" s="126">
        <f>P49-P43+ROUND(P10*Параметры!$B$71,0)</f>
        <v/>
      </c>
      <c r="R49" s="126">
        <f>Q49-Q43+ROUND(Q10*Параметры!$B$71,0)</f>
        <v/>
      </c>
      <c r="S49" s="126">
        <f>R49-R43+ROUND(R10*Параметры!$B$71,0)</f>
        <v/>
      </c>
      <c r="T49" s="126">
        <f>S49-S43+ROUND(S10*Параметры!$B$71,0)</f>
        <v/>
      </c>
      <c r="U49" s="126">
        <f>T49-T43+ROUND(T10*Параметры!$B$71,0)</f>
        <v/>
      </c>
      <c r="V49" s="126">
        <f>U49-U43+ROUND(U10*Параметры!$B$71,0)</f>
        <v/>
      </c>
      <c r="W49" s="126">
        <f>V49-V43+ROUND(V10*Параметры!$B$71,0)</f>
        <v/>
      </c>
      <c r="X49" s="126">
        <f>W49-W43+ROUND(W10*Параметры!$B$71,0)</f>
        <v/>
      </c>
      <c r="Y49" s="126">
        <f>X49-X43+ROUND(X10*Параметры!$B$71,0)</f>
        <v/>
      </c>
      <c r="Z49" s="6" t="n"/>
      <c r="AA49" s="6" t="n"/>
      <c r="AB49" s="6" t="n"/>
    </row>
    <row r="50" ht="19.5" customHeight="1" s="92">
      <c r="A50" s="124" t="inlineStr">
        <is>
          <t>Себестоимость проданного товара (справочно)</t>
        </is>
      </c>
      <c r="B50" s="126">
        <f>ROUND(B4*Параметры!$B$5+B7*Параметры!$B$7+B9*Параметры!$B$9,0)</f>
        <v/>
      </c>
      <c r="C50" s="126">
        <f>ROUND(C4*Параметры!$B$5+C7*Параметры!$B$7+C9*Параметры!$B$9,0)</f>
        <v/>
      </c>
      <c r="D50" s="126">
        <f>ROUND(D4*Параметры!$B$5+D7*Параметры!$B$7+D9*Параметры!$B$9,0)</f>
        <v/>
      </c>
      <c r="E50" s="126">
        <f>ROUND(E4*Параметры!$B$5+E7*Параметры!$B$7+E9*Параметры!$B$9,0)</f>
        <v/>
      </c>
      <c r="F50" s="126">
        <f>ROUND(F4*Параметры!$B$5+F7*Параметры!$B$7+F9*Параметры!$B$9,0)</f>
        <v/>
      </c>
      <c r="G50" s="126">
        <f>ROUND(G4*Параметры!$B$5+G7*Параметры!$B$7+G9*Параметры!$B$9,0)</f>
        <v/>
      </c>
      <c r="H50" s="126">
        <f>ROUND(H4*Параметры!$B$5+H7*Параметры!$B$7+H9*Параметры!$B$9,0)</f>
        <v/>
      </c>
      <c r="I50" s="126">
        <f>ROUND(I4*Параметры!$B$5+I7*Параметры!$B$7+I9*Параметры!$B$9,0)</f>
        <v/>
      </c>
      <c r="J50" s="126">
        <f>ROUND(J4*Параметры!$B$5+J7*Параметры!$B$7+J9*Параметры!$B$9,0)</f>
        <v/>
      </c>
      <c r="K50" s="126">
        <f>ROUND(K4*Параметры!$B$5+K7*Параметры!$B$7+K9*Параметры!$B$9,0)</f>
        <v/>
      </c>
      <c r="L50" s="126">
        <f>ROUND(L4*Параметры!$B$5+L7*Параметры!$B$7+L9*Параметры!$B$9,0)</f>
        <v/>
      </c>
      <c r="M50" s="126">
        <f>ROUND(M4*Параметры!$B$5+M7*Параметры!$B$7+M9*Параметры!$B$9,0)</f>
        <v/>
      </c>
      <c r="N50" s="126">
        <f>ROUND(N4*Параметры!$B$5+N7*Параметры!$B$7+N9*Параметры!$B$9,0)</f>
        <v/>
      </c>
      <c r="O50" s="126">
        <f>ROUND(O4*Параметры!$B$5+O7*Параметры!$B$7+O9*Параметры!$B$9,0)</f>
        <v/>
      </c>
      <c r="P50" s="126">
        <f>ROUND(P4*Параметры!$B$5+P7*Параметры!$B$7+P9*Параметры!$B$9,0)</f>
        <v/>
      </c>
      <c r="Q50" s="126">
        <f>ROUND(Q4*Параметры!$B$5+Q7*Параметры!$B$7+Q9*Параметры!$B$9,0)</f>
        <v/>
      </c>
      <c r="R50" s="126">
        <f>ROUND(R4*Параметры!$B$5+R7*Параметры!$B$7+R9*Параметры!$B$9,0)</f>
        <v/>
      </c>
      <c r="S50" s="126">
        <f>ROUND(S4*Параметры!$B$5+S7*Параметры!$B$7+S9*Параметры!$B$9,0)</f>
        <v/>
      </c>
      <c r="T50" s="126">
        <f>ROUND(T4*Параметры!$B$5+T7*Параметры!$B$7+T9*Параметры!$B$9,0)</f>
        <v/>
      </c>
      <c r="U50" s="126">
        <f>ROUND(U4*Параметры!$B$5+U7*Параметры!$B$7+U9*Параметры!$B$9,0)</f>
        <v/>
      </c>
      <c r="V50" s="126">
        <f>ROUND(V4*Параметры!$B$5+V7*Параметры!$B$7+V9*Параметры!$B$9,0)</f>
        <v/>
      </c>
      <c r="W50" s="126">
        <f>ROUND(W4*Параметры!$B$5+W7*Параметры!$B$7+W9*Параметры!$B$9,0)</f>
        <v/>
      </c>
      <c r="X50" s="126">
        <f>ROUND(X4*Параметры!$B$5+X7*Параметры!$B$7+X9*Параметры!$B$9,0)</f>
        <v/>
      </c>
      <c r="Y50" s="126">
        <f>ROUND(Y4*Параметры!$B$5+Y7*Параметры!$B$7+Y9*Параметры!$B$9,0)</f>
        <v/>
      </c>
      <c r="Z50" s="126">
        <f>SUM(B50:Y50)</f>
        <v/>
      </c>
      <c r="AA50" s="6" t="n"/>
      <c r="AB50" s="6" t="n"/>
    </row>
    <row r="51" ht="19.5" customHeight="1" s="92">
      <c r="A51" s="124" t="inlineStr">
        <is>
          <t>Валовая прибыль</t>
        </is>
      </c>
      <c r="B51" s="126">
        <f>(B3+B6+B9)-B50</f>
        <v/>
      </c>
      <c r="C51" s="126">
        <f>(C3+C6+C9)-C50</f>
        <v/>
      </c>
      <c r="D51" s="126">
        <f>(D3+D6+D9)-D50</f>
        <v/>
      </c>
      <c r="E51" s="126">
        <f>(E3+E6+E9)-E50</f>
        <v/>
      </c>
      <c r="F51" s="126">
        <f>(F3+F6+F9)-F50</f>
        <v/>
      </c>
      <c r="G51" s="126">
        <f>(G3+G6+G9)-G50</f>
        <v/>
      </c>
      <c r="H51" s="126">
        <f>(H3+H6+H9)-H50</f>
        <v/>
      </c>
      <c r="I51" s="126">
        <f>(I3+I6+I9)-I50</f>
        <v/>
      </c>
      <c r="J51" s="126">
        <f>(J3+J6+J9)-J50</f>
        <v/>
      </c>
      <c r="K51" s="126">
        <f>(K3+K6+K9)-K50</f>
        <v/>
      </c>
      <c r="L51" s="126">
        <f>(L3+L6+L9)-L50</f>
        <v/>
      </c>
      <c r="M51" s="126">
        <f>(M3+M6+M9)-M50</f>
        <v/>
      </c>
      <c r="N51" s="126">
        <f>(N3+N6+N9)-N50</f>
        <v/>
      </c>
      <c r="O51" s="126">
        <f>(O3+O6+O9)-O50</f>
        <v/>
      </c>
      <c r="P51" s="126">
        <f>(P3+P6+P9)-P50</f>
        <v/>
      </c>
      <c r="Q51" s="126">
        <f>(Q3+Q6+Q9)-Q50</f>
        <v/>
      </c>
      <c r="R51" s="126">
        <f>(R3+R6+R9)-R50</f>
        <v/>
      </c>
      <c r="S51" s="126">
        <f>(S3+S6+S9)-S50</f>
        <v/>
      </c>
      <c r="T51" s="126">
        <f>(T3+T6+T9)-T50</f>
        <v/>
      </c>
      <c r="U51" s="126">
        <f>(U3+U6+U9)-U50</f>
        <v/>
      </c>
      <c r="V51" s="126">
        <f>(V3+V6+V9)-V50</f>
        <v/>
      </c>
      <c r="W51" s="126">
        <f>(W3+W6+W9)-W50</f>
        <v/>
      </c>
      <c r="X51" s="126">
        <f>(X3+X6+X9)-X50</f>
        <v/>
      </c>
      <c r="Y51" s="126">
        <f>(Y3+Y6+Y9)-Y50</f>
        <v/>
      </c>
      <c r="Z51" s="126">
        <f>SUM(B51:Y51)</f>
        <v/>
      </c>
      <c r="AA51" s="6" t="n"/>
      <c r="AB51" s="6" t="n"/>
    </row>
    <row r="52" ht="19.5" customHeight="1" s="92">
      <c r="A52" s="124" t="inlineStr">
        <is>
          <t>Валовая маржа, %</t>
        </is>
      </c>
      <c r="B52" s="127">
        <f>IF((B3+B6+B9)=0,0,B51/(B3+B6+B9))</f>
        <v/>
      </c>
      <c r="C52" s="127">
        <f>IF((C3+C6+C9)=0,0,C51/(C3+C6+C9))</f>
        <v/>
      </c>
      <c r="D52" s="127">
        <f>IF((D3+D6+D9)=0,0,D51/(D3+D6+D9))</f>
        <v/>
      </c>
      <c r="E52" s="127">
        <f>IF((E3+E6+E9)=0,0,E51/(E3+E6+E9))</f>
        <v/>
      </c>
      <c r="F52" s="127">
        <f>IF((F3+F6+F9)=0,0,F51/(F3+F6+F9))</f>
        <v/>
      </c>
      <c r="G52" s="127">
        <f>IF((G3+G6+G9)=0,0,G51/(G3+G6+G9))</f>
        <v/>
      </c>
      <c r="H52" s="127">
        <f>IF((H3+H6+H9)=0,0,H51/(H3+H6+H9))</f>
        <v/>
      </c>
      <c r="I52" s="127">
        <f>IF((I3+I6+I9)=0,0,I51/(I3+I6+I9))</f>
        <v/>
      </c>
      <c r="J52" s="127">
        <f>IF((J3+J6+J9)=0,0,J51/(J3+J6+J9))</f>
        <v/>
      </c>
      <c r="K52" s="127">
        <f>IF((K3+K6+K9)=0,0,K51/(K3+K6+K9))</f>
        <v/>
      </c>
      <c r="L52" s="127">
        <f>IF((L3+L6+L9)=0,0,L51/(L3+L6+L9))</f>
        <v/>
      </c>
      <c r="M52" s="127">
        <f>IF((M3+M6+M9)=0,0,M51/(M3+M6+M9))</f>
        <v/>
      </c>
      <c r="N52" s="127">
        <f>IF((N3+N6+N9)=0,0,N51/(N3+N6+N9))</f>
        <v/>
      </c>
      <c r="O52" s="127">
        <f>IF((O3+O6+O9)=0,0,O51/(O3+O6+O9))</f>
        <v/>
      </c>
      <c r="P52" s="127">
        <f>IF((P3+P6+P9)=0,0,P51/(P3+P6+P9))</f>
        <v/>
      </c>
      <c r="Q52" s="127">
        <f>IF((Q3+Q6+Q9)=0,0,Q51/(Q3+Q6+Q9))</f>
        <v/>
      </c>
      <c r="R52" s="127">
        <f>IF((R3+R6+R9)=0,0,R51/(R3+R6+R9))</f>
        <v/>
      </c>
      <c r="S52" s="127">
        <f>IF((S3+S6+S9)=0,0,S51/(S3+S6+S9))</f>
        <v/>
      </c>
      <c r="T52" s="127">
        <f>IF((T3+T6+T9)=0,0,T51/(T3+T6+T9))</f>
        <v/>
      </c>
      <c r="U52" s="127">
        <f>IF((U3+U6+U9)=0,0,U51/(U3+U6+U9))</f>
        <v/>
      </c>
      <c r="V52" s="127">
        <f>IF((V3+V6+V9)=0,0,V51/(V3+V6+V9))</f>
        <v/>
      </c>
      <c r="W52" s="127">
        <f>IF((W3+W6+W9)=0,0,W51/(W3+W6+W9))</f>
        <v/>
      </c>
      <c r="X52" s="127">
        <f>IF((X3+X6+X9)=0,0,X51/(X3+X6+X9))</f>
        <v/>
      </c>
      <c r="Y52" s="127">
        <f>IF((Y3+Y6+Y9)=0,0,Y51/(Y3+Y6+Y9))</f>
        <v/>
      </c>
      <c r="Z52" s="127">
        <f>IF((Z3+Z6+Z9)=0,0,Z51/(Z3+Z6+Z9))</f>
        <v/>
      </c>
      <c r="AA52" s="6" t="n"/>
      <c r="AB52" s="6" t="n"/>
    </row>
    <row r="53" ht="19.5" customHeight="1" s="92">
      <c r="A53" s="124" t="inlineStr">
        <is>
          <t>Операционный ден. поток (без инвестиций и возврата)</t>
        </is>
      </c>
      <c r="B53" s="126">
        <f>(B3+B6+B9)-(B17+B22+B26+B34+B38+B42)</f>
        <v/>
      </c>
      <c r="C53" s="126">
        <f>(C3+C6+C9)-(C17+C22+C26+C34+C38+C42)</f>
        <v/>
      </c>
      <c r="D53" s="126">
        <f>(D3+D6+D9)-(D17+D22+D26+D34+D38+D42)</f>
        <v/>
      </c>
      <c r="E53" s="126">
        <f>(E3+E6+E9)-(E17+E22+E26+E34+E38+E42)</f>
        <v/>
      </c>
      <c r="F53" s="126">
        <f>(F3+F6+F9)-(F17+F22+F26+F34+F38+F42)</f>
        <v/>
      </c>
      <c r="G53" s="126">
        <f>(G3+G6+G9)-(G17+G22+G26+G34+G38+G42)</f>
        <v/>
      </c>
      <c r="H53" s="126">
        <f>(H3+H6+H9)-(H17+H22+H26+H34+H38+H42)</f>
        <v/>
      </c>
      <c r="I53" s="126">
        <f>(I3+I6+I9)-(I17+I22+I26+I34+I38+I42)</f>
        <v/>
      </c>
      <c r="J53" s="126">
        <f>(J3+J6+J9)-(J17+J22+J26+J34+J38+J42)</f>
        <v/>
      </c>
      <c r="K53" s="126">
        <f>(K3+K6+K9)-(K17+K22+K26+K34+K38+K42)</f>
        <v/>
      </c>
      <c r="L53" s="126">
        <f>(L3+L6+L9)-(L17+L22+L26+L34+L38+L42)</f>
        <v/>
      </c>
      <c r="M53" s="126">
        <f>(M3+M6+M9)-(M17+M22+M26+M34+M38+M42)</f>
        <v/>
      </c>
      <c r="N53" s="126">
        <f>(N3+N6+N9)-(N17+N22+N26+N34+N38+N42)</f>
        <v/>
      </c>
      <c r="O53" s="126">
        <f>(O3+O6+O9)-(O17+O22+O26+O34+O38+O42)</f>
        <v/>
      </c>
      <c r="P53" s="126">
        <f>(P3+P6+P9)-(P17+P22+P26+P34+P38+P42)</f>
        <v/>
      </c>
      <c r="Q53" s="126">
        <f>(Q3+Q6+Q9)-(Q17+Q22+Q26+Q34+Q38+Q42)</f>
        <v/>
      </c>
      <c r="R53" s="126">
        <f>(R3+R6+R9)-(R17+R22+R26+R34+R38+R42)</f>
        <v/>
      </c>
      <c r="S53" s="126">
        <f>(S3+S6+S9)-(S17+S22+S26+S34+S38+S42)</f>
        <v/>
      </c>
      <c r="T53" s="126">
        <f>(T3+T6+T9)-(T17+T22+T26+T34+T38+T42)</f>
        <v/>
      </c>
      <c r="U53" s="126">
        <f>(U3+U6+U9)-(U17+U22+U26+U34+U38+U42)</f>
        <v/>
      </c>
      <c r="V53" s="126">
        <f>(V3+V6+V9)-(V17+V22+V26+V34+V38+V42)</f>
        <v/>
      </c>
      <c r="W53" s="126">
        <f>(W3+W6+W9)-(W17+W22+W26+W34+W38+W42)</f>
        <v/>
      </c>
      <c r="X53" s="126">
        <f>(X3+X6+X9)-(X17+X22+X26+X34+X38+X42)</f>
        <v/>
      </c>
      <c r="Y53" s="126">
        <f>(Y3+Y6+Y9)-(Y17+Y22+Y26+Y34+Y38+Y42)</f>
        <v/>
      </c>
      <c r="Z53" s="126">
        <f>SUM(B53:Y53)</f>
        <v/>
      </c>
      <c r="AA53" s="6" t="n"/>
      <c r="AB53" s="6" t="n"/>
    </row>
    <row r="54" ht="19.5" customHeight="1" s="92">
      <c r="A54" s="124" t="inlineStr">
        <is>
          <t>Накопленный операционный ден. поток</t>
        </is>
      </c>
      <c r="B54" s="126">
        <f>B53</f>
        <v/>
      </c>
      <c r="C54" s="126">
        <f>B54+C53</f>
        <v/>
      </c>
      <c r="D54" s="126">
        <f>C54+D53</f>
        <v/>
      </c>
      <c r="E54" s="126">
        <f>D54+E53</f>
        <v/>
      </c>
      <c r="F54" s="126">
        <f>E54+F53</f>
        <v/>
      </c>
      <c r="G54" s="126">
        <f>F54+G53</f>
        <v/>
      </c>
      <c r="H54" s="126">
        <f>G54+H53</f>
        <v/>
      </c>
      <c r="I54" s="126">
        <f>H54+I53</f>
        <v/>
      </c>
      <c r="J54" s="126">
        <f>I54+J53</f>
        <v/>
      </c>
      <c r="K54" s="126">
        <f>J54+K53</f>
        <v/>
      </c>
      <c r="L54" s="126">
        <f>K54+L53</f>
        <v/>
      </c>
      <c r="M54" s="126">
        <f>L54+M53</f>
        <v/>
      </c>
      <c r="N54" s="126">
        <f>M54+N53</f>
        <v/>
      </c>
      <c r="O54" s="126">
        <f>N54+O53</f>
        <v/>
      </c>
      <c r="P54" s="126">
        <f>O54+P53</f>
        <v/>
      </c>
      <c r="Q54" s="126">
        <f>P54+Q53</f>
        <v/>
      </c>
      <c r="R54" s="126">
        <f>Q54+R53</f>
        <v/>
      </c>
      <c r="S54" s="126">
        <f>R54+S53</f>
        <v/>
      </c>
      <c r="T54" s="126">
        <f>S54+T53</f>
        <v/>
      </c>
      <c r="U54" s="126">
        <f>T54+U53</f>
        <v/>
      </c>
      <c r="V54" s="126">
        <f>U54+V53</f>
        <v/>
      </c>
      <c r="W54" s="126">
        <f>V54+W53</f>
        <v/>
      </c>
      <c r="X54" s="126">
        <f>W54+X53</f>
        <v/>
      </c>
      <c r="Y54" s="126">
        <f>X54+Y53</f>
        <v/>
      </c>
      <c r="Z54" s="6" t="n"/>
      <c r="AA54" s="6" t="n"/>
      <c r="AB54" s="6" t="n"/>
    </row>
    <row r="55" ht="19.5" customHeight="1" s="92">
      <c r="A55" s="124" t="inlineStr">
        <is>
          <t>Денежный поток инвестора (−транш / +возврат)</t>
        </is>
      </c>
      <c r="B55" s="126">
        <f>B43-B10</f>
        <v/>
      </c>
      <c r="C55" s="126">
        <f>C43-C10</f>
        <v/>
      </c>
      <c r="D55" s="126">
        <f>D43-D10</f>
        <v/>
      </c>
      <c r="E55" s="126">
        <f>E43-E10</f>
        <v/>
      </c>
      <c r="F55" s="126">
        <f>F43-F10</f>
        <v/>
      </c>
      <c r="G55" s="126">
        <f>G43-G10</f>
        <v/>
      </c>
      <c r="H55" s="126">
        <f>H43-H10</f>
        <v/>
      </c>
      <c r="I55" s="126">
        <f>I43-I10</f>
        <v/>
      </c>
      <c r="J55" s="126">
        <f>J43-J10</f>
        <v/>
      </c>
      <c r="K55" s="126">
        <f>K43-K10</f>
        <v/>
      </c>
      <c r="L55" s="126">
        <f>L43-L10</f>
        <v/>
      </c>
      <c r="M55" s="126">
        <f>M43-M10</f>
        <v/>
      </c>
      <c r="N55" s="126">
        <f>N43-N10</f>
        <v/>
      </c>
      <c r="O55" s="126">
        <f>O43-O10</f>
        <v/>
      </c>
      <c r="P55" s="126">
        <f>P43-P10</f>
        <v/>
      </c>
      <c r="Q55" s="126">
        <f>Q43-Q10</f>
        <v/>
      </c>
      <c r="R55" s="126">
        <f>R43-R10</f>
        <v/>
      </c>
      <c r="S55" s="126">
        <f>S43-S10</f>
        <v/>
      </c>
      <c r="T55" s="126">
        <f>T43-T10</f>
        <v/>
      </c>
      <c r="U55" s="126">
        <f>U43-U10</f>
        <v/>
      </c>
      <c r="V55" s="126">
        <f>V43-V10</f>
        <v/>
      </c>
      <c r="W55" s="126">
        <f>W43-W10</f>
        <v/>
      </c>
      <c r="X55" s="126">
        <f>X43-X10</f>
        <v/>
      </c>
      <c r="Y55" s="126">
        <f>Y43-Y10</f>
        <v/>
      </c>
      <c r="Z55" s="126">
        <f>SUM(B55:Y55)</f>
        <v/>
      </c>
      <c r="AA55" s="6" t="n"/>
      <c r="AB55" s="6" t="n"/>
    </row>
    <row r="56" ht="19.5" customHeight="1" s="92">
      <c r="A56" s="124" t="inlineStr">
        <is>
          <t>флаг: месяц выхода в операционный плюс</t>
        </is>
      </c>
      <c r="B56" s="125">
        <f>IF(B53&gt;0,B$48,9999)</f>
        <v/>
      </c>
      <c r="C56" s="125">
        <f>IF(C53&gt;0,C$48,9999)</f>
        <v/>
      </c>
      <c r="D56" s="125">
        <f>IF(D53&gt;0,D$48,9999)</f>
        <v/>
      </c>
      <c r="E56" s="125">
        <f>IF(E53&gt;0,E$48,9999)</f>
        <v/>
      </c>
      <c r="F56" s="125">
        <f>IF(F53&gt;0,F$48,9999)</f>
        <v/>
      </c>
      <c r="G56" s="125">
        <f>IF(G53&gt;0,G$48,9999)</f>
        <v/>
      </c>
      <c r="H56" s="125">
        <f>IF(H53&gt;0,H$48,9999)</f>
        <v/>
      </c>
      <c r="I56" s="125">
        <f>IF(I53&gt;0,I$48,9999)</f>
        <v/>
      </c>
      <c r="J56" s="125">
        <f>IF(J53&gt;0,J$48,9999)</f>
        <v/>
      </c>
      <c r="K56" s="125">
        <f>IF(K53&gt;0,K$48,9999)</f>
        <v/>
      </c>
      <c r="L56" s="125">
        <f>IF(L53&gt;0,L$48,9999)</f>
        <v/>
      </c>
      <c r="M56" s="125">
        <f>IF(M53&gt;0,M$48,9999)</f>
        <v/>
      </c>
      <c r="N56" s="125">
        <f>IF(N53&gt;0,N$48,9999)</f>
        <v/>
      </c>
      <c r="O56" s="125">
        <f>IF(O53&gt;0,O$48,9999)</f>
        <v/>
      </c>
      <c r="P56" s="125">
        <f>IF(P53&gt;0,P$48,9999)</f>
        <v/>
      </c>
      <c r="Q56" s="125">
        <f>IF(Q53&gt;0,Q$48,9999)</f>
        <v/>
      </c>
      <c r="R56" s="125">
        <f>IF(R53&gt;0,R$48,9999)</f>
        <v/>
      </c>
      <c r="S56" s="125">
        <f>IF(S53&gt;0,S$48,9999)</f>
        <v/>
      </c>
      <c r="T56" s="125">
        <f>IF(T53&gt;0,T$48,9999)</f>
        <v/>
      </c>
      <c r="U56" s="125">
        <f>IF(U53&gt;0,U$48,9999)</f>
        <v/>
      </c>
      <c r="V56" s="125">
        <f>IF(V53&gt;0,V$48,9999)</f>
        <v/>
      </c>
      <c r="W56" s="125">
        <f>IF(W53&gt;0,W$48,9999)</f>
        <v/>
      </c>
      <c r="X56" s="125">
        <f>IF(X53&gt;0,X$48,9999)</f>
        <v/>
      </c>
      <c r="Y56" s="125">
        <f>IF(Y53&gt;0,Y$48,9999)</f>
        <v/>
      </c>
      <c r="Z56" s="6" t="n"/>
      <c r="AA56" s="6" t="n"/>
      <c r="AB56" s="6" t="n"/>
    </row>
    <row r="57" ht="19.5" customHeight="1" s="92">
      <c r="A57" s="124" t="inlineStr">
        <is>
          <t>флаг: месяц окупаемости проекта</t>
        </is>
      </c>
      <c r="B57" s="125">
        <f>IF(B54&gt;0,B$48,9999)</f>
        <v/>
      </c>
      <c r="C57" s="125">
        <f>IF(C54&gt;0,C$48,9999)</f>
        <v/>
      </c>
      <c r="D57" s="125">
        <f>IF(D54&gt;0,D$48,9999)</f>
        <v/>
      </c>
      <c r="E57" s="125">
        <f>IF(E54&gt;0,E$48,9999)</f>
        <v/>
      </c>
      <c r="F57" s="125">
        <f>IF(F54&gt;0,F$48,9999)</f>
        <v/>
      </c>
      <c r="G57" s="125">
        <f>IF(G54&gt;0,G$48,9999)</f>
        <v/>
      </c>
      <c r="H57" s="125">
        <f>IF(H54&gt;0,H$48,9999)</f>
        <v/>
      </c>
      <c r="I57" s="125">
        <f>IF(I54&gt;0,I$48,9999)</f>
        <v/>
      </c>
      <c r="J57" s="125">
        <f>IF(J54&gt;0,J$48,9999)</f>
        <v/>
      </c>
      <c r="K57" s="125">
        <f>IF(K54&gt;0,K$48,9999)</f>
        <v/>
      </c>
      <c r="L57" s="125">
        <f>IF(L54&gt;0,L$48,9999)</f>
        <v/>
      </c>
      <c r="M57" s="125">
        <f>IF(M54&gt;0,M$48,9999)</f>
        <v/>
      </c>
      <c r="N57" s="125">
        <f>IF(N54&gt;0,N$48,9999)</f>
        <v/>
      </c>
      <c r="O57" s="125">
        <f>IF(O54&gt;0,O$48,9999)</f>
        <v/>
      </c>
      <c r="P57" s="125">
        <f>IF(P54&gt;0,P$48,9999)</f>
        <v/>
      </c>
      <c r="Q57" s="125">
        <f>IF(Q54&gt;0,Q$48,9999)</f>
        <v/>
      </c>
      <c r="R57" s="125">
        <f>IF(R54&gt;0,R$48,9999)</f>
        <v/>
      </c>
      <c r="S57" s="125">
        <f>IF(S54&gt;0,S$48,9999)</f>
        <v/>
      </c>
      <c r="T57" s="125">
        <f>IF(T54&gt;0,T$48,9999)</f>
        <v/>
      </c>
      <c r="U57" s="125">
        <f>IF(U54&gt;0,U$48,9999)</f>
        <v/>
      </c>
      <c r="V57" s="125">
        <f>IF(V54&gt;0,V$48,9999)</f>
        <v/>
      </c>
      <c r="W57" s="125">
        <f>IF(W54&gt;0,W$48,9999)</f>
        <v/>
      </c>
      <c r="X57" s="125">
        <f>IF(X54&gt;0,X$48,9999)</f>
        <v/>
      </c>
      <c r="Y57" s="125">
        <f>IF(Y54&gt;0,Y$48,9999)</f>
        <v/>
      </c>
      <c r="Z57" s="6" t="n"/>
      <c r="AA57" s="6" t="n"/>
      <c r="AB57" s="6" t="n"/>
    </row>
    <row r="58" ht="19.5" customHeight="1" s="92">
      <c r="A58" s="124" t="inlineStr">
        <is>
          <t>флаг: месяц полного возврата инвестору</t>
        </is>
      </c>
      <c r="B58" s="125">
        <f>IF(AND(B49&gt;0,B49-B43&lt;=0.5),B$48,9999)</f>
        <v/>
      </c>
      <c r="C58" s="125">
        <f>IF(AND(C49&gt;0,C49-C43&lt;=0.5),C$48,9999)</f>
        <v/>
      </c>
      <c r="D58" s="125">
        <f>IF(AND(D49&gt;0,D49-D43&lt;=0.5),D$48,9999)</f>
        <v/>
      </c>
      <c r="E58" s="125">
        <f>IF(AND(E49&gt;0,E49-E43&lt;=0.5),E$48,9999)</f>
        <v/>
      </c>
      <c r="F58" s="125">
        <f>IF(AND(F49&gt;0,F49-F43&lt;=0.5),F$48,9999)</f>
        <v/>
      </c>
      <c r="G58" s="125">
        <f>IF(AND(G49&gt;0,G49-G43&lt;=0.5),G$48,9999)</f>
        <v/>
      </c>
      <c r="H58" s="125">
        <f>IF(AND(H49&gt;0,H49-H43&lt;=0.5),H$48,9999)</f>
        <v/>
      </c>
      <c r="I58" s="125">
        <f>IF(AND(I49&gt;0,I49-I43&lt;=0.5),I$48,9999)</f>
        <v/>
      </c>
      <c r="J58" s="125">
        <f>IF(AND(J49&gt;0,J49-J43&lt;=0.5),J$48,9999)</f>
        <v/>
      </c>
      <c r="K58" s="125">
        <f>IF(AND(K49&gt;0,K49-K43&lt;=0.5),K$48,9999)</f>
        <v/>
      </c>
      <c r="L58" s="125">
        <f>IF(AND(L49&gt;0,L49-L43&lt;=0.5),L$48,9999)</f>
        <v/>
      </c>
      <c r="M58" s="125">
        <f>IF(AND(M49&gt;0,M49-M43&lt;=0.5),M$48,9999)</f>
        <v/>
      </c>
      <c r="N58" s="125">
        <f>IF(AND(N49&gt;0,N49-N43&lt;=0.5),N$48,9999)</f>
        <v/>
      </c>
      <c r="O58" s="125">
        <f>IF(AND(O49&gt;0,O49-O43&lt;=0.5),O$48,9999)</f>
        <v/>
      </c>
      <c r="P58" s="125">
        <f>IF(AND(P49&gt;0,P49-P43&lt;=0.5),P$48,9999)</f>
        <v/>
      </c>
      <c r="Q58" s="125">
        <f>IF(AND(Q49&gt;0,Q49-Q43&lt;=0.5),Q$48,9999)</f>
        <v/>
      </c>
      <c r="R58" s="125">
        <f>IF(AND(R49&gt;0,R49-R43&lt;=0.5),R$48,9999)</f>
        <v/>
      </c>
      <c r="S58" s="125">
        <f>IF(AND(S49&gt;0,S49-S43&lt;=0.5),S$48,9999)</f>
        <v/>
      </c>
      <c r="T58" s="125">
        <f>IF(AND(T49&gt;0,T49-T43&lt;=0.5),T$48,9999)</f>
        <v/>
      </c>
      <c r="U58" s="125">
        <f>IF(AND(U49&gt;0,U49-U43&lt;=0.5),U$48,9999)</f>
        <v/>
      </c>
      <c r="V58" s="125">
        <f>IF(AND(V49&gt;0,V49-V43&lt;=0.5),V$48,9999)</f>
        <v/>
      </c>
      <c r="W58" s="125">
        <f>IF(AND(W49&gt;0,W49-W43&lt;=0.5),W$48,9999)</f>
        <v/>
      </c>
      <c r="X58" s="125">
        <f>IF(AND(X49&gt;0,X49-X43&lt;=0.5),X$48,9999)</f>
        <v/>
      </c>
      <c r="Y58" s="125">
        <f>IF(AND(Y49&gt;0,Y49-Y43&lt;=0.5),Y$48,9999)</f>
        <v/>
      </c>
      <c r="Z58" s="6" t="n"/>
      <c r="AA58" s="6" t="n"/>
      <c r="AB58" s="6" t="n"/>
    </row>
    <row r="59" ht="19.5" customHeight="1" s="92">
      <c r="A59" s="124" t="inlineStr">
        <is>
          <t>Инвестиции накопленным итогом</t>
        </is>
      </c>
      <c r="B59" s="126">
        <f>B10</f>
        <v/>
      </c>
      <c r="C59" s="126">
        <f>B59+C10</f>
        <v/>
      </c>
      <c r="D59" s="126">
        <f>C59+D10</f>
        <v/>
      </c>
      <c r="E59" s="126">
        <f>D59+E10</f>
        <v/>
      </c>
      <c r="F59" s="126">
        <f>E59+F10</f>
        <v/>
      </c>
      <c r="G59" s="126">
        <f>F59+G10</f>
        <v/>
      </c>
      <c r="H59" s="126">
        <f>G59+H10</f>
        <v/>
      </c>
      <c r="I59" s="126">
        <f>H59+I10</f>
        <v/>
      </c>
      <c r="J59" s="126">
        <f>I59+J10</f>
        <v/>
      </c>
      <c r="K59" s="126">
        <f>J59+K10</f>
        <v/>
      </c>
      <c r="L59" s="126">
        <f>K59+L10</f>
        <v/>
      </c>
      <c r="M59" s="126">
        <f>L59+M10</f>
        <v/>
      </c>
      <c r="N59" s="126">
        <f>M59+N10</f>
        <v/>
      </c>
      <c r="O59" s="126">
        <f>N59+O10</f>
        <v/>
      </c>
      <c r="P59" s="126">
        <f>O59+P10</f>
        <v/>
      </c>
      <c r="Q59" s="126">
        <f>P59+Q10</f>
        <v/>
      </c>
      <c r="R59" s="126">
        <f>Q59+R10</f>
        <v/>
      </c>
      <c r="S59" s="126">
        <f>R59+S10</f>
        <v/>
      </c>
      <c r="T59" s="126">
        <f>S59+T10</f>
        <v/>
      </c>
      <c r="U59" s="126">
        <f>T59+U10</f>
        <v/>
      </c>
      <c r="V59" s="126">
        <f>U59+V10</f>
        <v/>
      </c>
      <c r="W59" s="126">
        <f>V59+W10</f>
        <v/>
      </c>
      <c r="X59" s="126">
        <f>W59+X10</f>
        <v/>
      </c>
      <c r="Y59" s="126">
        <f>X59+Y10</f>
        <v/>
      </c>
      <c r="Z59" s="6" t="n"/>
      <c r="AA59" s="6" t="n"/>
      <c r="AB59" s="6" t="n"/>
    </row>
    <row r="60" ht="19.5" customHeight="1" s="92">
      <c r="A60" s="124" t="inlineStr">
        <is>
          <t>флаг: месяц, в котором заходил транш</t>
        </is>
      </c>
      <c r="B60" s="125">
        <f>IF(B10&gt;0,B$48,0)</f>
        <v/>
      </c>
      <c r="C60" s="125">
        <f>IF(C10&gt;0,C$48,0)</f>
        <v/>
      </c>
      <c r="D60" s="125">
        <f>IF(D10&gt;0,D$48,0)</f>
        <v/>
      </c>
      <c r="E60" s="125">
        <f>IF(E10&gt;0,E$48,0)</f>
        <v/>
      </c>
      <c r="F60" s="125">
        <f>IF(F10&gt;0,F$48,0)</f>
        <v/>
      </c>
      <c r="G60" s="125">
        <f>IF(G10&gt;0,G$48,0)</f>
        <v/>
      </c>
      <c r="H60" s="125">
        <f>IF(H10&gt;0,H$48,0)</f>
        <v/>
      </c>
      <c r="I60" s="125">
        <f>IF(I10&gt;0,I$48,0)</f>
        <v/>
      </c>
      <c r="J60" s="125">
        <f>IF(J10&gt;0,J$48,0)</f>
        <v/>
      </c>
      <c r="K60" s="125">
        <f>IF(K10&gt;0,K$48,0)</f>
        <v/>
      </c>
      <c r="L60" s="125">
        <f>IF(L10&gt;0,L$48,0)</f>
        <v/>
      </c>
      <c r="M60" s="125">
        <f>IF(M10&gt;0,M$48,0)</f>
        <v/>
      </c>
      <c r="N60" s="125">
        <f>IF(N10&gt;0,N$48,0)</f>
        <v/>
      </c>
      <c r="O60" s="125">
        <f>IF(O10&gt;0,O$48,0)</f>
        <v/>
      </c>
      <c r="P60" s="125">
        <f>IF(P10&gt;0,P$48,0)</f>
        <v/>
      </c>
      <c r="Q60" s="125">
        <f>IF(Q10&gt;0,Q$48,0)</f>
        <v/>
      </c>
      <c r="R60" s="125">
        <f>IF(R10&gt;0,R$48,0)</f>
        <v/>
      </c>
      <c r="S60" s="125">
        <f>IF(S10&gt;0,S$48,0)</f>
        <v/>
      </c>
      <c r="T60" s="125">
        <f>IF(T10&gt;0,T$48,0)</f>
        <v/>
      </c>
      <c r="U60" s="125">
        <f>IF(U10&gt;0,U$48,0)</f>
        <v/>
      </c>
      <c r="V60" s="125">
        <f>IF(V10&gt;0,V$48,0)</f>
        <v/>
      </c>
      <c r="W60" s="125">
        <f>IF(W10&gt;0,W$48,0)</f>
        <v/>
      </c>
      <c r="X60" s="125">
        <f>IF(X10&gt;0,X$48,0)</f>
        <v/>
      </c>
      <c r="Y60" s="125">
        <f>IF(Y10&gt;0,Y$48,0)</f>
        <v/>
      </c>
      <c r="Z60" s="6" t="n"/>
      <c r="AA60" s="6" t="n"/>
      <c r="AB60" s="6" t="n"/>
    </row>
    <row r="61" ht="19.5" customHeight="1" s="92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</row>
    <row r="62" ht="19.5" customHeight="1" s="92">
      <c r="A62" s="128" t="inlineStr">
        <is>
          <t>КЛЮЧЕВЫЕ ПОКАЗАТЕЛИ ДЛЯ ИНВЕСТОРА</t>
        </is>
      </c>
      <c r="B62" s="128" t="n"/>
      <c r="C62" s="128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</row>
    <row r="63" ht="19.5" customHeight="1" s="92">
      <c r="A63" s="6" t="inlineStr">
        <is>
          <t>Первый транш (месяц 1)</t>
        </is>
      </c>
      <c r="B63" s="129">
        <f>B10</f>
        <v/>
      </c>
      <c r="C63" s="124" t="inlineStr">
        <is>
          <t>с этой суммы начинаем</t>
        </is>
      </c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  <c r="AB63" s="6" t="n"/>
    </row>
    <row r="64" ht="19.5" customHeight="1" s="92">
      <c r="A64" s="6" t="inlineStr">
        <is>
          <t>Инвестиции всего за 24 месяца</t>
        </is>
      </c>
      <c r="B64" s="129">
        <f>$Z$10</f>
        <v/>
      </c>
      <c r="C64" s="124" t="inlineStr">
        <is>
          <t>сумма всех траншей</t>
        </is>
      </c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</row>
    <row r="65" ht="19.5" customHeight="1" s="92">
      <c r="A65" s="6" t="inlineStr">
        <is>
          <t>Количество траншей</t>
        </is>
      </c>
      <c r="B65" s="130">
        <f>COUNTIF(B10:Y10,"&gt;0")</f>
        <v/>
      </c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</row>
    <row r="66" ht="19.5" customHeight="1" s="92">
      <c r="A66" s="6" t="inlineStr">
        <is>
          <t>Максимальный разовый транш</t>
        </is>
      </c>
      <c r="B66" s="129">
        <f>MAX(B10:Y10)</f>
        <v/>
      </c>
      <c r="C66" s="124" t="inlineStr">
        <is>
          <t>риск инвестора за один раз</t>
        </is>
      </c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  <c r="AB66" s="6" t="n"/>
    </row>
    <row r="67" ht="19.5" customHeight="1" s="92">
      <c r="A67" s="6" t="inlineStr">
        <is>
          <t>Последний месяц привлечения денег</t>
        </is>
      </c>
      <c r="B67" s="130">
        <f>MAX(B60:Y60)</f>
        <v/>
      </c>
      <c r="C67" s="124" t="inlineStr">
        <is>
          <t>дальше проект финансирует себя сам</t>
        </is>
      </c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  <c r="AB67" s="6" t="n"/>
    </row>
    <row r="68" ht="19.5" customHeight="1" s="92">
      <c r="A68" s="6" t="inlineStr">
        <is>
          <t>Пиковая потребность (макс. просадка опер. потока)</t>
        </is>
      </c>
      <c r="B68" s="129">
        <f>MAX(0,-MIN(B54:Y54))</f>
        <v/>
      </c>
      <c r="C68" s="124" t="inlineStr">
        <is>
          <t>суммарный кассовый разрыв проекта</t>
        </is>
      </c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</row>
    <row r="69" ht="19.5" customHeight="1" s="92">
      <c r="A69" s="6" t="inlineStr">
        <is>
          <t>Лимит инвестора</t>
        </is>
      </c>
      <c r="B69" s="129">
        <f>Параметры!$B$73</f>
        <v/>
      </c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</row>
    <row r="70" ht="19.5" customHeight="1" s="92">
      <c r="A70" s="6" t="inlineStr">
        <is>
          <t>Обязательство перед инвестором (тело × коэффициент)</t>
        </is>
      </c>
      <c r="B70" s="129">
        <f>ROUND($Z$10*Параметры!$B$71,0)</f>
        <v/>
      </c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  <c r="AB70" s="6" t="n"/>
    </row>
    <row r="71" ht="19.5" customHeight="1" s="92">
      <c r="A71" s="6" t="inlineStr">
        <is>
          <t>Возвращено инвестору за 24 месяца</t>
        </is>
      </c>
      <c r="B71" s="129">
        <f>$Z$43</f>
        <v/>
      </c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  <c r="AB71" s="6" t="n"/>
    </row>
    <row r="72" ht="19.5" customHeight="1" s="92">
      <c r="A72" s="6" t="inlineStr">
        <is>
          <t>Остаток обязательства на конец горизонта</t>
        </is>
      </c>
      <c r="B72" s="129">
        <f>$AA$43</f>
        <v/>
      </c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  <c r="AB72" s="6" t="n"/>
    </row>
    <row r="73" ht="19.5" customHeight="1" s="92">
      <c r="A73" s="6" t="inlineStr">
        <is>
          <t>Доход инвестора за 24 месяца</t>
        </is>
      </c>
      <c r="B73" s="129">
        <f>$Z$43-$Z$10</f>
        <v/>
      </c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  <c r="AB73" s="6" t="n"/>
    </row>
    <row r="74" ht="19.5" customHeight="1" s="92">
      <c r="A74" s="6" t="inlineStr">
        <is>
          <t>ROI инвестора за 24 месяца</t>
        </is>
      </c>
      <c r="B74" s="131">
        <f>IF($Z$10=0,0,($Z$43-$Z$10)/$Z$10)</f>
        <v/>
      </c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  <c r="AB74" s="6" t="n"/>
    </row>
    <row r="75" ht="19.5" customHeight="1" s="92">
      <c r="A75" s="6" t="inlineStr">
        <is>
          <t>IRR инвестора, % годовых</t>
        </is>
      </c>
      <c r="B75" s="131">
        <f>IFERROR((1+IRR(B55:Y55))^12-1,"н/д")</f>
        <v/>
      </c>
      <c r="C75" s="124" t="inlineStr">
        <is>
          <t>по реальному графику траншей и возвратов</t>
        </is>
      </c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  <c r="AB75" s="6" t="n"/>
    </row>
    <row r="76" ht="19.5" customHeight="1" s="92">
      <c r="A76" s="6" t="inlineStr">
        <is>
          <t>IRR проекта, % годовых</t>
        </is>
      </c>
      <c r="B76" s="131">
        <f>IFERROR((1+IRR(B53:Y53))^12-1,"н/д")</f>
        <v/>
      </c>
      <c r="C76" s="124" t="inlineStr">
        <is>
          <t>по операционному потоку</t>
        </is>
      </c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  <c r="AB76" s="6" t="n"/>
    </row>
    <row r="77" ht="19.5" customHeight="1" s="92">
      <c r="A77" s="6" t="inlineStr">
        <is>
          <t>NPV проекта</t>
        </is>
      </c>
      <c r="B77" s="129">
        <f>ROUND(NPV(Параметры!$B$74/12,B53:Y53),0)</f>
        <v/>
      </c>
      <c r="C77" s="124" t="inlineStr">
        <is>
          <t>ставка — на листе «Параметры»</t>
        </is>
      </c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  <c r="AB77" s="6" t="n"/>
    </row>
    <row r="78" ht="19.5" customHeight="1" s="92">
      <c r="A78" s="6" t="inlineStr">
        <is>
          <t>Месяц выхода в операционный плюс</t>
        </is>
      </c>
      <c r="B78" s="130">
        <f>IF(MIN(B56:Y56)=9999,"за горизонтом",MIN(B56:Y56))</f>
        <v/>
      </c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  <c r="AB78" s="6" t="n"/>
    </row>
    <row r="79" ht="19.5" customHeight="1" s="92">
      <c r="A79" s="6" t="inlineStr">
        <is>
          <t>Месяц окупаемости проекта (накопленный поток &gt; 0)</t>
        </is>
      </c>
      <c r="B79" s="130">
        <f>IF(MIN(B57:Y57)=9999,"за горизонтом",MIN(B57:Y57))</f>
        <v/>
      </c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  <c r="AB79" s="6" t="n"/>
    </row>
    <row r="80" ht="19.5" customHeight="1" s="92">
      <c r="A80" s="6" t="inlineStr">
        <is>
          <t>Месяц полного возврата инвестору</t>
        </is>
      </c>
      <c r="B80" s="130">
        <f>IF(MIN(B58:Y58)=9999,"за горизонтом",MIN(B58:Y58))</f>
        <v/>
      </c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  <c r="AA80" s="6" t="n"/>
      <c r="AB80" s="6" t="n"/>
    </row>
    <row r="81" ht="19.5" customHeight="1" s="92">
      <c r="A81" s="6" t="inlineStr">
        <is>
          <t>Выручка за 24 месяца</t>
        </is>
      </c>
      <c r="B81" s="129">
        <f>$Z$3+$Z$6+$Z$9</f>
        <v/>
      </c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  <c r="AB81" s="6" t="n"/>
    </row>
    <row r="82" ht="19.5" customHeight="1" s="92">
      <c r="A82" s="6" t="inlineStr">
        <is>
          <t>Выручка в 24-м месяце (run-rate)</t>
        </is>
      </c>
      <c r="B82" s="129">
        <f>$Y$3+$Y$6+$Y$9</f>
        <v/>
      </c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  <c r="AB82" s="6" t="n"/>
    </row>
    <row r="83" ht="19.5" customHeight="1" s="92">
      <c r="A83" s="6" t="inlineStr">
        <is>
          <t>Средняя валовая маржа</t>
        </is>
      </c>
      <c r="B83" s="131">
        <f>IF(B81=0,0,$Z$51/B81)</f>
        <v/>
      </c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  <c r="AB83" s="6" t="n"/>
    </row>
    <row r="84" ht="19.5" customHeight="1" s="92">
      <c r="A84" s="6" t="inlineStr">
        <is>
          <t>Операционная прибыль за 24 месяца</t>
        </is>
      </c>
      <c r="B84" s="129">
        <f>$Z$53</f>
        <v/>
      </c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  <c r="AB84" s="6" t="n"/>
    </row>
    <row r="85" ht="19.5" customHeight="1" s="92">
      <c r="A85" s="6" t="inlineStr">
        <is>
          <t>Рентабельность по операционному потоку</t>
        </is>
      </c>
      <c r="B85" s="131">
        <f>IF(B81=0,0,B84/B81)</f>
        <v/>
      </c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  <c r="AB85" s="6" t="n"/>
    </row>
    <row r="86" ht="19.5" customHeight="1" s="92">
      <c r="A86" s="6" t="inlineStr">
        <is>
          <t>Минимальный остаток на счёте за горизонт</t>
        </is>
      </c>
      <c r="B86" s="129">
        <f>MIN(B46:Y46)</f>
        <v/>
      </c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  <c r="AB86" s="6" t="n"/>
    </row>
    <row r="87" ht="19.5" customHeight="1" s="92">
      <c r="A87" s="6" t="inlineStr">
        <is>
          <t>Проверка: денег хватает?</t>
        </is>
      </c>
      <c r="B87" s="132">
        <f>IF(AND(B86&gt;=0,B64&lt;=B69),"ОК: разрывов нет, уложились в лимит","ДЕФИЦИТ: не хватает лимита инвестора")</f>
        <v/>
      </c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  <c r="AB87" s="6" t="n"/>
    </row>
    <row r="88" ht="19.5" customHeight="1" s="92">
      <c r="A88" s="6" t="inlineStr">
        <is>
          <t>Оценка компании post-money (по доле инвестора)</t>
        </is>
      </c>
      <c r="B88" s="129">
        <f>IF(Параметры!$B$75=0,0,ROUND($Z$10/Параметры!$B$75,0))</f>
        <v/>
      </c>
      <c r="C88" s="124" t="inlineStr">
        <is>
          <t>альтернатива возврату — доля в капитале</t>
        </is>
      </c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  <c r="AB88" s="6" t="n"/>
    </row>
    <row r="89" ht="19.5" customHeight="1" s="92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  <c r="AB89" s="6" t="n"/>
    </row>
    <row r="90" ht="19.5" customHeight="1" s="92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  <c r="AB90" s="6" t="n"/>
    </row>
    <row r="91" ht="19.5" customHeight="1" s="92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  <c r="AB91" s="6" t="n"/>
    </row>
    <row r="92" ht="19.5" customHeight="1" s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  <c r="AB92" s="6" t="n"/>
    </row>
    <row r="93" ht="19.5" customHeight="1" s="92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  <c r="AB93" s="6" t="n"/>
    </row>
    <row r="94" ht="19.5" customHeight="1" s="92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  <c r="AB94" s="6" t="n"/>
    </row>
    <row r="95" ht="19.5" customHeight="1" s="92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  <c r="AB95" s="6" t="n"/>
    </row>
    <row r="96" ht="19.5" customHeight="1" s="92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  <c r="AB96" s="6" t="n"/>
    </row>
    <row r="97" ht="19.5" customHeight="1" s="92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  <c r="AB97" s="6" t="n"/>
    </row>
    <row r="98" ht="19.5" customHeight="1" s="92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  <c r="AB98" s="6" t="n"/>
    </row>
    <row r="99" ht="19.5" customHeight="1" s="92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  <c r="AB99" s="6" t="n"/>
    </row>
    <row r="100" ht="19.5" customHeight="1" s="92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  <c r="AB100" s="6" t="n"/>
    </row>
    <row r="101" ht="19.5" customHeight="1" s="92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  <c r="AB101" s="6" t="n"/>
    </row>
    <row r="102" ht="19.5" customHeight="1" s="9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  <c r="AB102" s="6" t="n"/>
    </row>
    <row r="103" ht="19.5" customHeight="1" s="92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  <c r="AB103" s="6" t="n"/>
    </row>
    <row r="104" ht="19.5" customHeight="1" s="92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  <c r="AB104" s="6" t="n"/>
    </row>
    <row r="105" ht="19.5" customHeight="1" s="92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  <c r="AB105" s="6" t="n"/>
    </row>
    <row r="106" ht="19.5" customHeight="1" s="92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  <c r="AB106" s="6" t="n"/>
    </row>
    <row r="107" ht="19.5" customHeight="1" s="92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  <c r="AB107" s="6" t="n"/>
    </row>
    <row r="108" ht="19.5" customHeight="1" s="92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  <c r="AA108" s="6" t="n"/>
      <c r="AB108" s="6" t="n"/>
    </row>
    <row r="109" ht="19.5" customHeight="1" s="92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  <c r="AB109" s="6" t="n"/>
    </row>
    <row r="110" ht="19.5" customHeight="1" s="92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  <c r="AB110" s="6" t="n"/>
    </row>
    <row r="111" ht="19.5" customHeight="1" s="92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  <c r="AB111" s="6" t="n"/>
    </row>
    <row r="112" ht="19.5" customHeight="1" s="9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  <c r="AB112" s="6" t="n"/>
    </row>
    <row r="113" ht="19.5" customHeight="1" s="92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  <c r="AB113" s="6" t="n"/>
    </row>
    <row r="114" ht="19.5" customHeight="1" s="92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  <c r="AA114" s="6" t="n"/>
      <c r="AB114" s="6" t="n"/>
    </row>
    <row r="115" ht="19.5" customHeight="1" s="92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  <c r="AB115" s="6" t="n"/>
    </row>
    <row r="116" ht="19.5" customHeight="1" s="92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  <c r="AB116" s="6" t="n"/>
    </row>
    <row r="117" ht="19.5" customHeight="1" s="92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  <c r="AB117" s="6" t="n"/>
    </row>
    <row r="118" ht="19.5" customHeight="1" s="92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  <c r="AB118" s="6" t="n"/>
    </row>
    <row r="119" ht="19.5" customHeight="1" s="92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6" t="n"/>
      <c r="AB119" s="6" t="n"/>
    </row>
    <row r="120" ht="19.5" customHeight="1" s="92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  <c r="AA120" s="6" t="n"/>
      <c r="AB120" s="6" t="n"/>
    </row>
    <row r="121" ht="19.5" customHeight="1" s="92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6" t="n"/>
      <c r="AB121" s="6" t="n"/>
    </row>
    <row r="122" ht="19.5" customHeight="1" s="9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  <c r="AA122" s="6" t="n"/>
      <c r="AB122" s="6" t="n"/>
    </row>
    <row r="123" ht="19.5" customHeight="1" s="92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  <c r="AB123" s="6" t="n"/>
    </row>
    <row r="124" ht="19.5" customHeight="1" s="92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  <c r="AB124" s="6" t="n"/>
    </row>
    <row r="125" ht="19.5" customHeight="1" s="92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  <c r="AB125" s="6" t="n"/>
    </row>
    <row r="126" ht="19.5" customHeight="1" s="92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  <c r="AA126" s="6" t="n"/>
      <c r="AB126" s="6" t="n"/>
    </row>
    <row r="127" ht="19.5" customHeight="1" s="92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6" t="n"/>
      <c r="AB127" s="6" t="n"/>
    </row>
    <row r="128" ht="19.5" customHeight="1" s="92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  <c r="AA128" s="6" t="n"/>
      <c r="AB128" s="6" t="n"/>
    </row>
    <row r="129" ht="19.5" customHeight="1" s="92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6" t="n"/>
      <c r="AB129" s="6" t="n"/>
    </row>
    <row r="130" ht="19.5" customHeight="1" s="92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  <c r="AA130" s="6" t="n"/>
      <c r="AB130" s="6" t="n"/>
    </row>
    <row r="131" ht="19.5" customHeight="1" s="92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  <c r="AB131" s="6" t="n"/>
    </row>
    <row r="132" ht="19.5" customHeight="1" s="9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  <c r="AB132" s="6" t="n"/>
    </row>
    <row r="133" ht="19.5" customHeight="1" s="92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6" t="n"/>
      <c r="AB133" s="6" t="n"/>
    </row>
    <row r="134" ht="19.5" customHeight="1" s="92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  <c r="AA134" s="6" t="n"/>
      <c r="AB134" s="6" t="n"/>
    </row>
    <row r="135" ht="19.5" customHeight="1" s="92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6" t="n"/>
      <c r="AB135" s="6" t="n"/>
    </row>
    <row r="136" ht="19.5" customHeight="1" s="92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  <c r="AA136" s="6" t="n"/>
      <c r="AB136" s="6" t="n"/>
    </row>
    <row r="137" ht="19.5" customHeight="1" s="92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  <c r="AB137" s="6" t="n"/>
    </row>
    <row r="138" ht="19.5" customHeight="1" s="92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  <c r="AB138" s="6" t="n"/>
    </row>
    <row r="139" ht="19.5" customHeight="1" s="92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  <c r="AB139" s="6" t="n"/>
    </row>
    <row r="140" ht="19.5" customHeight="1" s="92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  <c r="AA140" s="6" t="n"/>
      <c r="AB140" s="6" t="n"/>
    </row>
    <row r="141" ht="19.5" customHeight="1" s="92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6" t="n"/>
      <c r="AB141" s="6" t="n"/>
    </row>
    <row r="142" ht="19.5" customHeight="1" s="92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  <c r="AA142" s="6" t="n"/>
      <c r="AB142" s="6" t="n"/>
    </row>
    <row r="143" ht="19.5" customHeight="1" s="92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6" t="n"/>
      <c r="AB143" s="6" t="n"/>
    </row>
    <row r="144" ht="19.5" customHeight="1" s="92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  <c r="AB144" s="6" t="n"/>
    </row>
    <row r="145" ht="19.5" customHeight="1" s="92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  <c r="AB145" s="6" t="n"/>
    </row>
    <row r="146" ht="19.5" customHeight="1" s="92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  <c r="AB146" s="6" t="n"/>
    </row>
    <row r="147" ht="19.5" customHeight="1" s="92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  <c r="AB147" s="6" t="n"/>
    </row>
    <row r="148" ht="19.5" customHeight="1" s="92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  <c r="AA148" s="6" t="n"/>
      <c r="AB148" s="6" t="n"/>
    </row>
    <row r="149" ht="19.5" customHeight="1" s="92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  <c r="AB149" s="6" t="n"/>
    </row>
    <row r="150" ht="19.5" customHeight="1" s="92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  <c r="AA150" s="6" t="n"/>
      <c r="AB150" s="6" t="n"/>
    </row>
    <row r="151" ht="19.5" customHeight="1" s="92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  <c r="AB151" s="6" t="n"/>
    </row>
    <row r="152" ht="19.5" customHeight="1" s="92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  <c r="AB152" s="6" t="n"/>
    </row>
    <row r="153" ht="19.5" customHeight="1" s="92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  <c r="AB153" s="6" t="n"/>
    </row>
    <row r="154" ht="19.5" customHeight="1" s="92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  <c r="AA154" s="6" t="n"/>
      <c r="AB154" s="6" t="n"/>
    </row>
    <row r="155" ht="19.5" customHeight="1" s="92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  <c r="AB155" s="6" t="n"/>
    </row>
    <row r="156" ht="19.5" customHeight="1" s="92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  <c r="AA156" s="6" t="n"/>
      <c r="AB156" s="6" t="n"/>
    </row>
    <row r="157" ht="19.5" customHeight="1" s="92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  <c r="AB157" s="6" t="n"/>
    </row>
    <row r="158" ht="19.5" customHeight="1" s="92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  <c r="AB158" s="6" t="n"/>
    </row>
    <row r="159" ht="19.5" customHeight="1" s="92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  <c r="AB159" s="6" t="n"/>
    </row>
    <row r="160" ht="19.5" customHeight="1" s="92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  <c r="AB160" s="6" t="n"/>
    </row>
    <row r="161" ht="19.5" customHeight="1" s="92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  <c r="AB161" s="6" t="n"/>
    </row>
    <row r="162" ht="19.5" customHeight="1" s="92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  <c r="AA162" s="6" t="n"/>
      <c r="AB162" s="6" t="n"/>
    </row>
    <row r="163" ht="19.5" customHeight="1" s="92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  <c r="AB163" s="6" t="n"/>
    </row>
    <row r="164" ht="19.5" customHeight="1" s="92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  <c r="AA164" s="6" t="n"/>
      <c r="AB164" s="6" t="n"/>
    </row>
    <row r="165" ht="19.5" customHeight="1" s="92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  <c r="AB165" s="6" t="n"/>
    </row>
    <row r="166" ht="19.5" customHeight="1" s="92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  <c r="AB166" s="6" t="n"/>
    </row>
    <row r="167" ht="19.5" customHeight="1" s="92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  <c r="AB167" s="6" t="n"/>
    </row>
    <row r="168" ht="19.5" customHeight="1" s="92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  <c r="AA168" s="6" t="n"/>
      <c r="AB168" s="6" t="n"/>
    </row>
    <row r="169" ht="19.5" customHeight="1" s="92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  <c r="AB169" s="6" t="n"/>
    </row>
    <row r="170" ht="19.5" customHeight="1" s="92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  <c r="AB170" s="6" t="n"/>
    </row>
    <row r="171" ht="19.5" customHeight="1" s="92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  <c r="AB171" s="6" t="n"/>
    </row>
    <row r="172" ht="19.5" customHeight="1" s="92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  <c r="AA172" s="6" t="n"/>
      <c r="AB172" s="6" t="n"/>
    </row>
    <row r="173" ht="19.5" customHeight="1" s="92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  <c r="AB173" s="6" t="n"/>
    </row>
    <row r="174" ht="19.5" customHeight="1" s="92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  <c r="AB174" s="6" t="n"/>
    </row>
    <row r="175" ht="19.5" customHeight="1" s="92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  <c r="AB175" s="6" t="n"/>
    </row>
    <row r="176" ht="19.5" customHeight="1" s="92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  <c r="AA176" s="6" t="n"/>
      <c r="AB176" s="6" t="n"/>
    </row>
    <row r="177" ht="19.5" customHeight="1" s="92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  <c r="AB177" s="6" t="n"/>
    </row>
    <row r="178" ht="19.5" customHeight="1" s="92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  <c r="AA178" s="6" t="n"/>
      <c r="AB178" s="6" t="n"/>
    </row>
    <row r="179" ht="19.5" customHeight="1" s="92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  <c r="AB179" s="6" t="n"/>
    </row>
    <row r="180" ht="19.5" customHeight="1" s="92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  <c r="AB180" s="6" t="n"/>
    </row>
    <row r="181" ht="19.5" customHeight="1" s="92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  <c r="AB181" s="6" t="n"/>
    </row>
    <row r="182" ht="19.5" customHeight="1" s="92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  <c r="AA182" s="6" t="n"/>
      <c r="AB182" s="6" t="n"/>
    </row>
    <row r="183" ht="19.5" customHeight="1" s="92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  <c r="AB183" s="6" t="n"/>
    </row>
    <row r="184" ht="19.5" customHeight="1" s="92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  <c r="AA184" s="6" t="n"/>
      <c r="AB184" s="6" t="n"/>
    </row>
    <row r="185" ht="19.5" customHeight="1" s="92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  <c r="AB185" s="6" t="n"/>
    </row>
    <row r="186" ht="19.5" customHeight="1" s="92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  <c r="AB186" s="6" t="n"/>
    </row>
    <row r="187" ht="19.5" customHeight="1" s="92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  <c r="AB187" s="6" t="n"/>
    </row>
    <row r="188" ht="19.5" customHeight="1" s="92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  <c r="AB188" s="6" t="n"/>
    </row>
    <row r="189" ht="19.5" customHeight="1" s="92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  <c r="AB189" s="6" t="n"/>
    </row>
    <row r="190" ht="19.5" customHeight="1" s="92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  <c r="AA190" s="6" t="n"/>
      <c r="AB190" s="6" t="n"/>
    </row>
    <row r="191" ht="19.5" customHeight="1" s="92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  <c r="AB191" s="6" t="n"/>
    </row>
    <row r="192" ht="19.5" customHeight="1" s="92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  <c r="AA192" s="6" t="n"/>
      <c r="AB192" s="6" t="n"/>
    </row>
    <row r="193" ht="19.5" customHeight="1" s="92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  <c r="AB193" s="6" t="n"/>
    </row>
    <row r="194" ht="19.5" customHeight="1" s="92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  <c r="AB194" s="6" t="n"/>
    </row>
    <row r="195" ht="19.5" customHeight="1" s="92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  <c r="AB195" s="6" t="n"/>
    </row>
    <row r="196" ht="19.5" customHeight="1" s="92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  <c r="AA196" s="6" t="n"/>
      <c r="AB196" s="6" t="n"/>
    </row>
    <row r="197" ht="19.5" customHeight="1" s="92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  <c r="AB197" s="6" t="n"/>
    </row>
    <row r="198" ht="19.5" customHeight="1" s="92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  <c r="AA198" s="6" t="n"/>
      <c r="AB198" s="6" t="n"/>
    </row>
    <row r="199" ht="19.5" customHeight="1" s="92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  <c r="AB199" s="6" t="n"/>
    </row>
    <row r="200" ht="19.5" customHeight="1" s="92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  <c r="AA200" s="6" t="n"/>
      <c r="AB200" s="6" t="n"/>
    </row>
    <row r="201" ht="19.5" customHeight="1" s="92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  <c r="AB201" s="6" t="n"/>
    </row>
    <row r="202" ht="19.5" customHeight="1" s="92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  <c r="AB202" s="6" t="n"/>
    </row>
    <row r="203" ht="19.5" customHeight="1" s="92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  <c r="AB203" s="6" t="n"/>
    </row>
    <row r="204" ht="19.5" customHeight="1" s="92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  <c r="AA204" s="6" t="n"/>
      <c r="AB204" s="6" t="n"/>
    </row>
    <row r="205" ht="19.5" customHeight="1" s="92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6" t="n"/>
      <c r="AB205" s="6" t="n"/>
    </row>
    <row r="206" ht="19.5" customHeight="1" s="92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  <c r="AA206" s="6" t="n"/>
      <c r="AB206" s="6" t="n"/>
    </row>
    <row r="207" ht="19.5" customHeight="1" s="92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  <c r="AB207" s="6" t="n"/>
    </row>
    <row r="208" ht="19.5" customHeight="1" s="92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  <c r="AB208" s="6" t="n"/>
    </row>
    <row r="209" ht="19.5" customHeight="1" s="92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  <c r="AB209" s="6" t="n"/>
    </row>
    <row r="210" ht="19.5" customHeight="1" s="92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  <c r="AA210" s="6" t="n"/>
      <c r="AB210" s="6" t="n"/>
    </row>
    <row r="211" ht="19.5" customHeight="1" s="92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6" t="n"/>
      <c r="AB211" s="6" t="n"/>
    </row>
    <row r="212" ht="19.5" customHeight="1" s="92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  <c r="AB212" s="6" t="n"/>
    </row>
    <row r="213" ht="19.5" customHeight="1" s="92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  <c r="AB213" s="6" t="n"/>
    </row>
    <row r="214" ht="19.5" customHeight="1" s="92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  <c r="AB214" s="6" t="n"/>
    </row>
    <row r="215" ht="19.5" customHeight="1" s="92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</row>
    <row r="216" ht="19.5" customHeight="1" s="92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</row>
    <row r="217" ht="19.5" customHeight="1" s="92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  <c r="AB217" s="6" t="n"/>
    </row>
    <row r="218" ht="19.5" customHeight="1" s="92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  <c r="AB218" s="6" t="n"/>
    </row>
    <row r="219" ht="19.5" customHeight="1" s="92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  <c r="AB219" s="6" t="n"/>
    </row>
    <row r="220" ht="19.5" customHeight="1" s="92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  <c r="AB220" s="6" t="n"/>
    </row>
    <row r="221" ht="19.5" customHeight="1" s="92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  <c r="AB221" s="6" t="n"/>
    </row>
    <row r="222" ht="19.5" customHeight="1" s="92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</row>
    <row r="223" ht="19.5" customHeight="1" s="92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</row>
    <row r="224" ht="19.5" customHeight="1" s="92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  <c r="AB224" s="6" t="n"/>
    </row>
    <row r="225" ht="19.5" customHeight="1" s="92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  <c r="AB225" s="6" t="n"/>
    </row>
    <row r="226" ht="19.5" customHeight="1" s="92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  <c r="AB226" s="6" t="n"/>
    </row>
    <row r="227" ht="19.5" customHeight="1" s="92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  <c r="AB227" s="6" t="n"/>
    </row>
    <row r="228" ht="19.5" customHeight="1" s="92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  <c r="AB228" s="6" t="n"/>
    </row>
    <row r="229" ht="19.5" customHeight="1" s="92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</row>
    <row r="230" ht="19.5" customHeight="1" s="92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</row>
    <row r="231" ht="19.5" customHeight="1" s="92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  <c r="AB231" s="6" t="n"/>
    </row>
    <row r="232" ht="19.5" customHeight="1" s="92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6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  <c r="AA232" s="6" t="n"/>
      <c r="AB232" s="6" t="n"/>
    </row>
    <row r="233" ht="19.5" customHeight="1" s="92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  <c r="AB233" s="6" t="n"/>
    </row>
    <row r="234" ht="19.5" customHeight="1" s="92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6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  <c r="AA234" s="6" t="n"/>
      <c r="AB234" s="6" t="n"/>
    </row>
    <row r="235" ht="19.5" customHeight="1" s="92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  <c r="AB235" s="6" t="n"/>
    </row>
    <row r="236" ht="19.5" customHeight="1" s="92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</row>
    <row r="237" ht="19.5" customHeight="1" s="92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</row>
    <row r="238" ht="19.5" customHeight="1" s="92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6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  <c r="AA238" s="6" t="n"/>
      <c r="AB238" s="6" t="n"/>
    </row>
    <row r="239" ht="19.5" customHeight="1" s="92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  <c r="AB239" s="6" t="n"/>
    </row>
    <row r="240" ht="19.5" customHeight="1" s="92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6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  <c r="AA240" s="6" t="n"/>
      <c r="AB240" s="6" t="n"/>
    </row>
    <row r="241" ht="19.5" customHeight="1" s="92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  <c r="AB241" s="6" t="n"/>
    </row>
    <row r="242" ht="19.5" customHeight="1" s="92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6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  <c r="AB242" s="6" t="n"/>
    </row>
    <row r="243" ht="19.5" customHeight="1" s="92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</row>
    <row r="244" ht="19.5" customHeight="1" s="92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</row>
    <row r="245" ht="19.5" customHeight="1" s="92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  <c r="AB245" s="6" t="n"/>
    </row>
    <row r="246" ht="19.5" customHeight="1" s="92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6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  <c r="AA246" s="6" t="n"/>
      <c r="AB246" s="6" t="n"/>
    </row>
    <row r="247" ht="19.5" customHeight="1" s="92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  <c r="AB247" s="6" t="n"/>
    </row>
    <row r="248" ht="19.5" customHeight="1" s="92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6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  <c r="AA248" s="6" t="n"/>
      <c r="AB248" s="6" t="n"/>
    </row>
    <row r="249" ht="19.5" customHeight="1" s="92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  <c r="AB249" s="6" t="n"/>
    </row>
    <row r="250" ht="19.5" customHeight="1" s="92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</row>
    <row r="251" ht="19.5" customHeight="1" s="92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</row>
    <row r="252" ht="19.5" customHeight="1" s="92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6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  <c r="AA252" s="6" t="n"/>
      <c r="AB252" s="6" t="n"/>
    </row>
    <row r="253" ht="19.5" customHeight="1" s="92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  <c r="AB253" s="6" t="n"/>
    </row>
    <row r="254" ht="19.5" customHeight="1" s="92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6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  <c r="AA254" s="6" t="n"/>
      <c r="AB254" s="6" t="n"/>
    </row>
    <row r="255" ht="19.5" customHeight="1" s="92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  <c r="AB255" s="6" t="n"/>
    </row>
    <row r="256" ht="19.5" customHeight="1" s="92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6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  <c r="AB256" s="6" t="n"/>
    </row>
    <row r="257" ht="19.5" customHeight="1" s="92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</row>
    <row r="258" ht="19.5" customHeight="1" s="92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</row>
    <row r="259" ht="19.5" customHeight="1" s="92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  <c r="AB259" s="6" t="n"/>
    </row>
    <row r="260" ht="19.5" customHeight="1" s="92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6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  <c r="AA260" s="6" t="n"/>
      <c r="AB260" s="6" t="n"/>
    </row>
    <row r="261" ht="19.5" customHeight="1" s="92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  <c r="AB261" s="6" t="n"/>
    </row>
    <row r="262" ht="19.5" customHeight="1" s="92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6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  <c r="AA262" s="6" t="n"/>
      <c r="AB262" s="6" t="n"/>
    </row>
    <row r="263" ht="19.5" customHeight="1" s="92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  <c r="AB263" s="6" t="n"/>
    </row>
    <row r="264" ht="19.5" customHeight="1" s="92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</row>
    <row r="265" ht="19.5" customHeight="1" s="92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</row>
    <row r="266" ht="19.5" customHeight="1" s="92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6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  <c r="AA266" s="6" t="n"/>
      <c r="AB266" s="6" t="n"/>
    </row>
    <row r="267" ht="19.5" customHeight="1" s="92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  <c r="AB267" s="6" t="n"/>
    </row>
    <row r="268" ht="19.5" customHeight="1" s="92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6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  <c r="AA268" s="6" t="n"/>
      <c r="AB268" s="6" t="n"/>
    </row>
    <row r="269" ht="19.5" customHeight="1" s="92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  <c r="AB269" s="6" t="n"/>
    </row>
    <row r="270" ht="19.5" customHeight="1" s="92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6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  <c r="AB270" s="6" t="n"/>
    </row>
    <row r="271" ht="19.5" customHeight="1" s="92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</row>
    <row r="272" ht="19.5" customHeight="1" s="92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</row>
    <row r="273" ht="19.5" customHeight="1" s="92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  <c r="AB273" s="6" t="n"/>
    </row>
    <row r="274" ht="19.5" customHeight="1" s="92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6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  <c r="AA274" s="6" t="n"/>
      <c r="AB274" s="6" t="n"/>
    </row>
    <row r="275" ht="19.5" customHeight="1" s="92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  <c r="AB275" s="6" t="n"/>
    </row>
    <row r="276" ht="19.5" customHeight="1" s="92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6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  <c r="AA276" s="6" t="n"/>
      <c r="AB276" s="6" t="n"/>
    </row>
    <row r="277" ht="19.5" customHeight="1" s="92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  <c r="AB277" s="6" t="n"/>
    </row>
    <row r="278" ht="19.5" customHeight="1" s="92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</row>
    <row r="279" ht="19.5" customHeight="1" s="92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</row>
    <row r="280" ht="19.5" customHeight="1" s="92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6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  <c r="AA280" s="6" t="n"/>
      <c r="AB280" s="6" t="n"/>
    </row>
    <row r="281" ht="19.5" customHeight="1" s="92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  <c r="AB281" s="6" t="n"/>
    </row>
    <row r="282" ht="19.5" customHeight="1" s="92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6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  <c r="AA282" s="6" t="n"/>
      <c r="AB282" s="6" t="n"/>
    </row>
    <row r="283" ht="19.5" customHeight="1" s="92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  <c r="AB283" s="6" t="n"/>
    </row>
    <row r="284" ht="19.5" customHeight="1" s="92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6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  <c r="AB284" s="6" t="n"/>
    </row>
    <row r="285" ht="19.5" customHeight="1" s="92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</row>
    <row r="286" ht="19.5" customHeight="1" s="92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</row>
    <row r="287" ht="19.5" customHeight="1" s="92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  <c r="AB287" s="6" t="n"/>
    </row>
    <row r="288" ht="19.5" customHeight="1" s="92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6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  <c r="AA288" s="6" t="n"/>
      <c r="AB288" s="6" t="n"/>
    </row>
    <row r="289" ht="19.5" customHeight="1" s="92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  <c r="AB289" s="6" t="n"/>
    </row>
    <row r="290" ht="19.5" customHeight="1" s="92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6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  <c r="AA290" s="6" t="n"/>
      <c r="AB290" s="6" t="n"/>
    </row>
    <row r="291" ht="19.5" customHeight="1" s="92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  <c r="AB291" s="6" t="n"/>
    </row>
    <row r="292" ht="19.5" customHeight="1" s="92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</row>
    <row r="293" ht="19.5" customHeight="1" s="92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</row>
    <row r="294" ht="19.5" customHeight="1" s="92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6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  <c r="AA294" s="6" t="n"/>
      <c r="AB294" s="6" t="n"/>
    </row>
    <row r="295" ht="19.5" customHeight="1" s="92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  <c r="AB295" s="6" t="n"/>
    </row>
    <row r="296" ht="19.5" customHeight="1" s="92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6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  <c r="AA296" s="6" t="n"/>
      <c r="AB296" s="6" t="n"/>
    </row>
    <row r="297" ht="19.5" customHeight="1" s="92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  <c r="AB297" s="6" t="n"/>
    </row>
    <row r="298" ht="19.5" customHeight="1" s="92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6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  <c r="AB298" s="6" t="n"/>
    </row>
    <row r="299" ht="19.5" customHeight="1" s="92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</row>
    <row r="300" ht="19.5" customHeight="1" s="92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</row>
    <row r="301" ht="19.5" customHeight="1" s="92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6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  <c r="AB301" s="6" t="n"/>
    </row>
    <row r="302" ht="19.5" customHeight="1" s="92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6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  <c r="AA302" s="6" t="n"/>
      <c r="AB302" s="6" t="n"/>
    </row>
    <row r="303" ht="19.5" customHeight="1" s="92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6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6" t="n"/>
      <c r="AB303" s="6" t="n"/>
    </row>
    <row r="304" ht="19.5" customHeight="1" s="92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6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  <c r="AA304" s="6" t="n"/>
      <c r="AB304" s="6" t="n"/>
    </row>
    <row r="305" ht="19.5" customHeight="1" s="92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6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6" t="n"/>
      <c r="AB305" s="6" t="n"/>
    </row>
    <row r="306" ht="19.5" customHeight="1" s="92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  <c r="AB306" s="6" t="n"/>
    </row>
    <row r="307" ht="19.5" customHeight="1" s="92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  <c r="AB307" s="6" t="n"/>
    </row>
    <row r="308" ht="19.5" customHeight="1" s="92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6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  <c r="AA308" s="6" t="n"/>
      <c r="AB308" s="6" t="n"/>
    </row>
    <row r="309" ht="19.5" customHeight="1" s="92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6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6" t="n"/>
      <c r="AB309" s="6" t="n"/>
    </row>
    <row r="310" ht="19.5" customHeight="1" s="92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6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  <c r="AA310" s="6" t="n"/>
      <c r="AB310" s="6" t="n"/>
    </row>
    <row r="311" ht="19.5" customHeight="1" s="92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6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6" t="n"/>
      <c r="AB311" s="6" t="n"/>
    </row>
    <row r="312" ht="19.5" customHeight="1" s="92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6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  <c r="AA312" s="6" t="n"/>
      <c r="AB312" s="6" t="n"/>
    </row>
    <row r="313" ht="19.5" customHeight="1" s="92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  <c r="AB313" s="6" t="n"/>
    </row>
    <row r="314" ht="19.5" customHeight="1" s="92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  <c r="AB314" s="6" t="n"/>
    </row>
    <row r="315" ht="19.5" customHeight="1" s="92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6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6" t="n"/>
      <c r="AB315" s="6" t="n"/>
    </row>
    <row r="316" ht="19.5" customHeight="1" s="92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6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  <c r="AA316" s="6" t="n"/>
      <c r="AB316" s="6" t="n"/>
    </row>
    <row r="317" ht="19.5" customHeight="1" s="92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6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6" t="n"/>
      <c r="AB317" s="6" t="n"/>
    </row>
    <row r="318" ht="19.5" customHeight="1" s="92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6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  <c r="AA318" s="6" t="n"/>
      <c r="AB318" s="6" t="n"/>
    </row>
    <row r="319" ht="19.5" customHeight="1" s="92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6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6" t="n"/>
      <c r="AB319" s="6" t="n"/>
    </row>
    <row r="320" ht="19.5" customHeight="1" s="92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  <c r="AB320" s="6" t="n"/>
    </row>
    <row r="321" ht="19.5" customHeight="1" s="92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  <c r="AB321" s="6" t="n"/>
    </row>
    <row r="322" ht="19.5" customHeight="1" s="92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6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  <c r="AA322" s="6" t="n"/>
      <c r="AB322" s="6" t="n"/>
    </row>
    <row r="323" ht="19.5" customHeight="1" s="92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6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6" t="n"/>
      <c r="AB323" s="6" t="n"/>
    </row>
    <row r="324" ht="19.5" customHeight="1" s="92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6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  <c r="AA324" s="6" t="n"/>
      <c r="AB324" s="6" t="n"/>
    </row>
    <row r="325" ht="19.5" customHeight="1" s="92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6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6" t="n"/>
      <c r="AB325" s="6" t="n"/>
    </row>
    <row r="326" ht="19.5" customHeight="1" s="92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6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  <c r="AA326" s="6" t="n"/>
      <c r="AB326" s="6" t="n"/>
    </row>
    <row r="327" ht="19.5" customHeight="1" s="92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</row>
    <row r="328" ht="19.5" customHeight="1" s="92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  <c r="AB328" s="6" t="n"/>
    </row>
    <row r="329" ht="19.5" customHeight="1" s="92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6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6" t="n"/>
      <c r="AB329" s="6" t="n"/>
    </row>
    <row r="330" ht="19.5" customHeight="1" s="92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6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  <c r="AA330" s="6" t="n"/>
      <c r="AB330" s="6" t="n"/>
    </row>
    <row r="331" ht="19.5" customHeight="1" s="92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6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6" t="n"/>
      <c r="AB331" s="6" t="n"/>
    </row>
    <row r="332" ht="19.5" customHeight="1" s="92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6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  <c r="AA332" s="6" t="n"/>
      <c r="AB332" s="6" t="n"/>
    </row>
    <row r="333" ht="19.5" customHeight="1" s="92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6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6" t="n"/>
      <c r="AB333" s="6" t="n"/>
    </row>
    <row r="334" ht="19.5" customHeight="1" s="92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  <c r="AB334" s="6" t="n"/>
    </row>
    <row r="335" ht="19.5" customHeight="1" s="92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  <c r="AB335" s="6" t="n"/>
    </row>
    <row r="336" ht="19.5" customHeight="1" s="92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6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  <c r="AA336" s="6" t="n"/>
      <c r="AB336" s="6" t="n"/>
    </row>
    <row r="337" ht="19.5" customHeight="1" s="92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6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6" t="n"/>
      <c r="AB337" s="6" t="n"/>
    </row>
    <row r="338" ht="19.5" customHeight="1" s="92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6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  <c r="AA338" s="6" t="n"/>
      <c r="AB338" s="6" t="n"/>
    </row>
    <row r="339" ht="19.5" customHeight="1" s="92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6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6" t="n"/>
      <c r="AB339" s="6" t="n"/>
    </row>
    <row r="340" ht="19.5" customHeight="1" s="92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6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  <c r="AA340" s="6" t="n"/>
      <c r="AB340" s="6" t="n"/>
    </row>
    <row r="341" ht="19.5" customHeight="1" s="92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  <c r="AB341" s="6" t="n"/>
    </row>
    <row r="342" ht="19.5" customHeight="1" s="92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  <c r="AB342" s="6" t="n"/>
    </row>
    <row r="343" ht="19.5" customHeight="1" s="92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6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6" t="n"/>
      <c r="AB343" s="6" t="n"/>
    </row>
    <row r="344" ht="19.5" customHeight="1" s="92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6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  <c r="AA344" s="6" t="n"/>
      <c r="AB344" s="6" t="n"/>
    </row>
    <row r="345" ht="19.5" customHeight="1" s="92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6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6" t="n"/>
      <c r="AB345" s="6" t="n"/>
    </row>
    <row r="346" ht="19.5" customHeight="1" s="92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6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  <c r="AA346" s="6" t="n"/>
      <c r="AB346" s="6" t="n"/>
    </row>
    <row r="347" ht="19.5" customHeight="1" s="92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6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6" t="n"/>
      <c r="AB347" s="6" t="n"/>
    </row>
    <row r="348" ht="19.5" customHeight="1" s="92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  <c r="AB348" s="6" t="n"/>
    </row>
    <row r="349" ht="19.5" customHeight="1" s="92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  <c r="AB349" s="6" t="n"/>
    </row>
    <row r="350" ht="19.5" customHeight="1" s="92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6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  <c r="AA350" s="6" t="n"/>
      <c r="AB350" s="6" t="n"/>
    </row>
    <row r="351" ht="19.5" customHeight="1" s="92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6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6" t="n"/>
      <c r="AB351" s="6" t="n"/>
    </row>
    <row r="352" ht="19.5" customHeight="1" s="92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6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  <c r="AA352" s="6" t="n"/>
      <c r="AB352" s="6" t="n"/>
    </row>
    <row r="353" ht="19.5" customHeight="1" s="92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6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6" t="n"/>
      <c r="AB353" s="6" t="n"/>
    </row>
    <row r="354" ht="19.5" customHeight="1" s="92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6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  <c r="AA354" s="6" t="n"/>
      <c r="AB354" s="6" t="n"/>
    </row>
    <row r="355" ht="19.5" customHeight="1" s="92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  <c r="AB355" s="6" t="n"/>
    </row>
    <row r="356" ht="19.5" customHeight="1" s="92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  <c r="AB356" s="6" t="n"/>
    </row>
    <row r="357" ht="19.5" customHeight="1" s="92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6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6" t="n"/>
      <c r="AB357" s="6" t="n"/>
    </row>
    <row r="358" ht="19.5" customHeight="1" s="92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6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  <c r="AA358" s="6" t="n"/>
      <c r="AB358" s="6" t="n"/>
    </row>
    <row r="359" ht="19.5" customHeight="1" s="92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6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6" t="n"/>
      <c r="AB359" s="6" t="n"/>
    </row>
    <row r="360" ht="19.5" customHeight="1" s="92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6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  <c r="AA360" s="6" t="n"/>
      <c r="AB360" s="6" t="n"/>
    </row>
    <row r="361" ht="19.5" customHeight="1" s="92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6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6" t="n"/>
      <c r="AB361" s="6" t="n"/>
    </row>
    <row r="362" ht="19.5" customHeight="1" s="92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  <c r="AB362" s="6" t="n"/>
    </row>
    <row r="363" ht="19.5" customHeight="1" s="92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  <c r="AB363" s="6" t="n"/>
    </row>
    <row r="364" ht="19.5" customHeight="1" s="92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6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  <c r="AA364" s="6" t="n"/>
      <c r="AB364" s="6" t="n"/>
    </row>
    <row r="365" ht="19.5" customHeight="1" s="92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6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6" t="n"/>
      <c r="AB365" s="6" t="n"/>
    </row>
    <row r="366" ht="19.5" customHeight="1" s="92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6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  <c r="AA366" s="6" t="n"/>
      <c r="AB366" s="6" t="n"/>
    </row>
    <row r="367" ht="19.5" customHeight="1" s="92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6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6" t="n"/>
      <c r="AB367" s="6" t="n"/>
    </row>
    <row r="368" ht="19.5" customHeight="1" s="92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6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  <c r="AA368" s="6" t="n"/>
      <c r="AB368" s="6" t="n"/>
    </row>
    <row r="369" ht="19.5" customHeight="1" s="92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  <c r="AB369" s="6" t="n"/>
    </row>
    <row r="370" ht="19.5" customHeight="1" s="92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  <c r="AB370" s="6" t="n"/>
    </row>
    <row r="371" ht="19.5" customHeight="1" s="92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6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6" t="n"/>
      <c r="AB371" s="6" t="n"/>
    </row>
    <row r="372" ht="19.5" customHeight="1" s="92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6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  <c r="AA372" s="6" t="n"/>
      <c r="AB372" s="6" t="n"/>
    </row>
    <row r="373" ht="19.5" customHeight="1" s="92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6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6" t="n"/>
      <c r="AB373" s="6" t="n"/>
    </row>
    <row r="374" ht="19.5" customHeight="1" s="92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6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  <c r="AA374" s="6" t="n"/>
      <c r="AB374" s="6" t="n"/>
    </row>
    <row r="375" ht="19.5" customHeight="1" s="92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6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6" t="n"/>
      <c r="AB375" s="6" t="n"/>
    </row>
    <row r="376" ht="19.5" customHeight="1" s="92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  <c r="AB376" s="6" t="n"/>
    </row>
    <row r="377" ht="19.5" customHeight="1" s="92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  <c r="AB377" s="6" t="n"/>
    </row>
    <row r="378" ht="19.5" customHeight="1" s="92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6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  <c r="AA378" s="6" t="n"/>
      <c r="AB378" s="6" t="n"/>
    </row>
    <row r="379" ht="19.5" customHeight="1" s="92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6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6" t="n"/>
      <c r="AB379" s="6" t="n"/>
    </row>
    <row r="380" ht="19.5" customHeight="1" s="92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6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  <c r="AA380" s="6" t="n"/>
      <c r="AB380" s="6" t="n"/>
    </row>
    <row r="381" ht="19.5" customHeight="1" s="92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6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6" t="n"/>
      <c r="AB381" s="6" t="n"/>
    </row>
    <row r="382" ht="19.5" customHeight="1" s="92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6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  <c r="AA382" s="6" t="n"/>
      <c r="AB382" s="6" t="n"/>
    </row>
    <row r="383" ht="19.5" customHeight="1" s="92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</row>
    <row r="384" ht="19.5" customHeight="1" s="92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  <c r="AB384" s="6" t="n"/>
    </row>
    <row r="385" ht="19.5" customHeight="1" s="92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6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6" t="n"/>
      <c r="AB385" s="6" t="n"/>
    </row>
    <row r="386" ht="19.5" customHeight="1" s="92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6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  <c r="AA386" s="6" t="n"/>
      <c r="AB386" s="6" t="n"/>
    </row>
    <row r="387" ht="19.5" customHeight="1" s="92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6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6" t="n"/>
      <c r="AB387" s="6" t="n"/>
    </row>
    <row r="388" ht="19.5" customHeight="1" s="92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6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  <c r="AA388" s="6" t="n"/>
      <c r="AB388" s="6" t="n"/>
    </row>
    <row r="389" ht="19.5" customHeight="1" s="92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6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6" t="n"/>
      <c r="AB389" s="6" t="n"/>
    </row>
    <row r="390" ht="19.5" customHeight="1" s="92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  <c r="AB390" s="6" t="n"/>
    </row>
    <row r="391" ht="19.5" customHeight="1" s="92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  <c r="AB391" s="6" t="n"/>
    </row>
    <row r="392" ht="19.5" customHeight="1" s="92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6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  <c r="AA392" s="6" t="n"/>
      <c r="AB392" s="6" t="n"/>
    </row>
    <row r="393" ht="19.5" customHeight="1" s="92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6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6" t="n"/>
      <c r="AB393" s="6" t="n"/>
    </row>
    <row r="394" ht="19.5" customHeight="1" s="92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6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  <c r="AA394" s="6" t="n"/>
      <c r="AB394" s="6" t="n"/>
    </row>
    <row r="395" ht="19.5" customHeight="1" s="92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6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6" t="n"/>
      <c r="AB395" s="6" t="n"/>
    </row>
    <row r="396" ht="19.5" customHeight="1" s="92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6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  <c r="AA396" s="6" t="n"/>
      <c r="AB396" s="6" t="n"/>
    </row>
    <row r="397" ht="19.5" customHeight="1" s="92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  <c r="AB397" s="6" t="n"/>
    </row>
    <row r="398" ht="19.5" customHeight="1" s="92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  <c r="AB398" s="6" t="n"/>
    </row>
    <row r="399" ht="19.5" customHeight="1" s="92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6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6" t="n"/>
      <c r="AB399" s="6" t="n"/>
    </row>
    <row r="400" ht="19.5" customHeight="1" s="92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6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  <c r="AA400" s="6" t="n"/>
      <c r="AB400" s="6" t="n"/>
    </row>
    <row r="401" ht="19.5" customHeight="1" s="92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6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6" t="n"/>
      <c r="AB401" s="6" t="n"/>
    </row>
    <row r="402" ht="19.5" customHeight="1" s="92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6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  <c r="AA402" s="6" t="n"/>
      <c r="AB402" s="6" t="n"/>
    </row>
    <row r="403" ht="19.5" customHeight="1" s="92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6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6" t="n"/>
      <c r="AB403" s="6" t="n"/>
    </row>
    <row r="404" ht="19.5" customHeight="1" s="92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  <c r="AB404" s="6" t="n"/>
    </row>
    <row r="405" ht="19.5" customHeight="1" s="92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  <c r="AB405" s="6" t="n"/>
    </row>
    <row r="406" ht="19.5" customHeight="1" s="92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6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  <c r="AA406" s="6" t="n"/>
      <c r="AB406" s="6" t="n"/>
    </row>
    <row r="407" ht="19.5" customHeight="1" s="92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6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6" t="n"/>
      <c r="AB407" s="6" t="n"/>
    </row>
    <row r="408" ht="19.5" customHeight="1" s="92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6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  <c r="AA408" s="6" t="n"/>
      <c r="AB408" s="6" t="n"/>
    </row>
    <row r="409" ht="19.5" customHeight="1" s="92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6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6" t="n"/>
      <c r="AB409" s="6" t="n"/>
    </row>
    <row r="410" ht="19.5" customHeight="1" s="92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6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  <c r="AA410" s="6" t="n"/>
      <c r="AB410" s="6" t="n"/>
    </row>
    <row r="411" ht="19.5" customHeight="1" s="92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  <c r="AB411" s="6" t="n"/>
    </row>
    <row r="412" ht="19.5" customHeight="1" s="92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  <c r="AA412" s="6" t="n"/>
      <c r="AB412" s="6" t="n"/>
    </row>
    <row r="413" ht="19.5" customHeight="1" s="92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6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  <c r="AA413" s="6" t="n"/>
      <c r="AB413" s="6" t="n"/>
    </row>
    <row r="414" ht="19.5" customHeight="1" s="92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6" t="n"/>
      <c r="P414" s="6" t="n"/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/>
      <c r="AA414" s="6" t="n"/>
      <c r="AB414" s="6" t="n"/>
    </row>
    <row r="415" ht="19.5" customHeight="1" s="92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6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  <c r="AA415" s="6" t="n"/>
      <c r="AB415" s="6" t="n"/>
    </row>
    <row r="416" ht="19.5" customHeight="1" s="92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6" t="n"/>
      <c r="P416" s="6" t="n"/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/>
      <c r="AA416" s="6" t="n"/>
      <c r="AB416" s="6" t="n"/>
    </row>
    <row r="417" ht="19.5" customHeight="1" s="92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6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  <c r="AA417" s="6" t="n"/>
      <c r="AB417" s="6" t="n"/>
    </row>
    <row r="418" ht="19.5" customHeight="1" s="92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  <c r="AA418" s="6" t="n"/>
      <c r="AB418" s="6" t="n"/>
    </row>
    <row r="419" ht="19.5" customHeight="1" s="92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6" t="n"/>
      <c r="AB419" s="6" t="n"/>
    </row>
    <row r="420" ht="19.5" customHeight="1" s="92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6" t="n"/>
      <c r="P420" s="6" t="n"/>
      <c r="Q420" s="6" t="n"/>
      <c r="R420" s="6" t="n"/>
      <c r="S420" s="6" t="n"/>
      <c r="T420" s="6" t="n"/>
      <c r="U420" s="6" t="n"/>
      <c r="V420" s="6" t="n"/>
      <c r="W420" s="6" t="n"/>
      <c r="X420" s="6" t="n"/>
      <c r="Y420" s="6" t="n"/>
      <c r="Z420" s="6" t="n"/>
      <c r="AA420" s="6" t="n"/>
      <c r="AB420" s="6" t="n"/>
    </row>
    <row r="421" ht="19.5" customHeight="1" s="92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6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  <c r="AA421" s="6" t="n"/>
      <c r="AB421" s="6" t="n"/>
    </row>
    <row r="422" ht="19.5" customHeight="1" s="92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6" t="n"/>
      <c r="P422" s="6" t="n"/>
      <c r="Q422" s="6" t="n"/>
      <c r="R422" s="6" t="n"/>
      <c r="S422" s="6" t="n"/>
      <c r="T422" s="6" t="n"/>
      <c r="U422" s="6" t="n"/>
      <c r="V422" s="6" t="n"/>
      <c r="W422" s="6" t="n"/>
      <c r="X422" s="6" t="n"/>
      <c r="Y422" s="6" t="n"/>
      <c r="Z422" s="6" t="n"/>
      <c r="AA422" s="6" t="n"/>
      <c r="AB422" s="6" t="n"/>
    </row>
    <row r="423" ht="19.5" customHeight="1" s="92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6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  <c r="AA423" s="6" t="n"/>
      <c r="AB423" s="6" t="n"/>
    </row>
    <row r="424" ht="19.5" customHeight="1" s="92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6" t="n"/>
      <c r="P424" s="6" t="n"/>
      <c r="Q424" s="6" t="n"/>
      <c r="R424" s="6" t="n"/>
      <c r="S424" s="6" t="n"/>
      <c r="T424" s="6" t="n"/>
      <c r="U424" s="6" t="n"/>
      <c r="V424" s="6" t="n"/>
      <c r="W424" s="6" t="n"/>
      <c r="X424" s="6" t="n"/>
      <c r="Y424" s="6" t="n"/>
      <c r="Z424" s="6" t="n"/>
      <c r="AA424" s="6" t="n"/>
      <c r="AB424" s="6" t="n"/>
    </row>
    <row r="425" ht="19.5" customHeight="1" s="92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6" t="n"/>
      <c r="AB425" s="6" t="n"/>
    </row>
    <row r="426" ht="19.5" customHeight="1" s="92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  <c r="AA426" s="6" t="n"/>
      <c r="AB426" s="6" t="n"/>
    </row>
    <row r="427" ht="19.5" customHeight="1" s="92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6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  <c r="AA427" s="6" t="n"/>
      <c r="AB427" s="6" t="n"/>
    </row>
    <row r="428" ht="19.5" customHeight="1" s="92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6" t="n"/>
      <c r="P428" s="6" t="n"/>
      <c r="Q428" s="6" t="n"/>
      <c r="R428" s="6" t="n"/>
      <c r="S428" s="6" t="n"/>
      <c r="T428" s="6" t="n"/>
      <c r="U428" s="6" t="n"/>
      <c r="V428" s="6" t="n"/>
      <c r="W428" s="6" t="n"/>
      <c r="X428" s="6" t="n"/>
      <c r="Y428" s="6" t="n"/>
      <c r="Z428" s="6" t="n"/>
      <c r="AA428" s="6" t="n"/>
      <c r="AB428" s="6" t="n"/>
    </row>
    <row r="429" ht="19.5" customHeight="1" s="92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6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  <c r="AA429" s="6" t="n"/>
      <c r="AB429" s="6" t="n"/>
    </row>
    <row r="430" ht="19.5" customHeight="1" s="92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6" t="n"/>
      <c r="P430" s="6" t="n"/>
      <c r="Q430" s="6" t="n"/>
      <c r="R430" s="6" t="n"/>
      <c r="S430" s="6" t="n"/>
      <c r="T430" s="6" t="n"/>
      <c r="U430" s="6" t="n"/>
      <c r="V430" s="6" t="n"/>
      <c r="W430" s="6" t="n"/>
      <c r="X430" s="6" t="n"/>
      <c r="Y430" s="6" t="n"/>
      <c r="Z430" s="6" t="n"/>
      <c r="AA430" s="6" t="n"/>
      <c r="AB430" s="6" t="n"/>
    </row>
    <row r="431" ht="19.5" customHeight="1" s="92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6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  <c r="AA431" s="6" t="n"/>
      <c r="AB431" s="6" t="n"/>
    </row>
    <row r="432" ht="19.5" customHeight="1" s="92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  <c r="AA432" s="6" t="n"/>
      <c r="AB432" s="6" t="n"/>
    </row>
    <row r="433" ht="19.5" customHeight="1" s="92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6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6" t="n"/>
      <c r="AB433" s="6" t="n"/>
    </row>
    <row r="434" ht="19.5" customHeight="1" s="92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6" t="n"/>
      <c r="P434" s="6" t="n"/>
      <c r="Q434" s="6" t="n"/>
      <c r="R434" s="6" t="n"/>
      <c r="S434" s="6" t="n"/>
      <c r="T434" s="6" t="n"/>
      <c r="U434" s="6" t="n"/>
      <c r="V434" s="6" t="n"/>
      <c r="W434" s="6" t="n"/>
      <c r="X434" s="6" t="n"/>
      <c r="Y434" s="6" t="n"/>
      <c r="Z434" s="6" t="n"/>
      <c r="AA434" s="6" t="n"/>
      <c r="AB434" s="6" t="n"/>
    </row>
    <row r="435" ht="19.5" customHeight="1" s="92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6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  <c r="AA435" s="6" t="n"/>
      <c r="AB435" s="6" t="n"/>
    </row>
    <row r="436" ht="19.5" customHeight="1" s="92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6" t="n"/>
      <c r="P436" s="6" t="n"/>
      <c r="Q436" s="6" t="n"/>
      <c r="R436" s="6" t="n"/>
      <c r="S436" s="6" t="n"/>
      <c r="T436" s="6" t="n"/>
      <c r="U436" s="6" t="n"/>
      <c r="V436" s="6" t="n"/>
      <c r="W436" s="6" t="n"/>
      <c r="X436" s="6" t="n"/>
      <c r="Y436" s="6" t="n"/>
      <c r="Z436" s="6" t="n"/>
      <c r="AA436" s="6" t="n"/>
      <c r="AB436" s="6" t="n"/>
    </row>
    <row r="437" ht="19.5" customHeight="1" s="92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6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  <c r="AA437" s="6" t="n"/>
      <c r="AB437" s="6" t="n"/>
    </row>
    <row r="438" ht="19.5" customHeight="1" s="92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6" t="n"/>
      <c r="P438" s="6" t="n"/>
      <c r="Q438" s="6" t="n"/>
      <c r="R438" s="6" t="n"/>
      <c r="S438" s="6" t="n"/>
      <c r="T438" s="6" t="n"/>
      <c r="U438" s="6" t="n"/>
      <c r="V438" s="6" t="n"/>
      <c r="W438" s="6" t="n"/>
      <c r="X438" s="6" t="n"/>
      <c r="Y438" s="6" t="n"/>
      <c r="Z438" s="6" t="n"/>
      <c r="AA438" s="6" t="n"/>
      <c r="AB438" s="6" t="n"/>
    </row>
    <row r="439" ht="19.5" customHeight="1" s="92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6" t="n"/>
      <c r="AB439" s="6" t="n"/>
    </row>
    <row r="440" ht="19.5" customHeight="1" s="92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6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  <c r="AA440" s="6" t="n"/>
      <c r="AB440" s="6" t="n"/>
    </row>
    <row r="441" ht="19.5" customHeight="1" s="92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6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  <c r="AA441" s="6" t="n"/>
      <c r="AB441" s="6" t="n"/>
    </row>
    <row r="442" ht="19.5" customHeight="1" s="92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6" t="n"/>
      <c r="P442" s="6" t="n"/>
      <c r="Q442" s="6" t="n"/>
      <c r="R442" s="6" t="n"/>
      <c r="S442" s="6" t="n"/>
      <c r="T442" s="6" t="n"/>
      <c r="U442" s="6" t="n"/>
      <c r="V442" s="6" t="n"/>
      <c r="W442" s="6" t="n"/>
      <c r="X442" s="6" t="n"/>
      <c r="Y442" s="6" t="n"/>
      <c r="Z442" s="6" t="n"/>
      <c r="AA442" s="6" t="n"/>
      <c r="AB442" s="6" t="n"/>
    </row>
    <row r="443" ht="19.5" customHeight="1" s="92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6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6" t="n"/>
      <c r="AB443" s="6" t="n"/>
    </row>
    <row r="444" ht="19.5" customHeight="1" s="92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6" t="n"/>
      <c r="P444" s="6" t="n"/>
      <c r="Q444" s="6" t="n"/>
      <c r="R444" s="6" t="n"/>
      <c r="S444" s="6" t="n"/>
      <c r="T444" s="6" t="n"/>
      <c r="U444" s="6" t="n"/>
      <c r="V444" s="6" t="n"/>
      <c r="W444" s="6" t="n"/>
      <c r="X444" s="6" t="n"/>
      <c r="Y444" s="6" t="n"/>
      <c r="Z444" s="6" t="n"/>
      <c r="AA444" s="6" t="n"/>
      <c r="AB444" s="6" t="n"/>
    </row>
    <row r="445" ht="19.5" customHeight="1" s="92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6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  <c r="AA445" s="6" t="n"/>
      <c r="AB445" s="6" t="n"/>
    </row>
    <row r="446" ht="19.5" customHeight="1" s="92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6" t="n"/>
      <c r="P446" s="6" t="n"/>
      <c r="Q446" s="6" t="n"/>
      <c r="R446" s="6" t="n"/>
      <c r="S446" s="6" t="n"/>
      <c r="T446" s="6" t="n"/>
      <c r="U446" s="6" t="n"/>
      <c r="V446" s="6" t="n"/>
      <c r="W446" s="6" t="n"/>
      <c r="X446" s="6" t="n"/>
      <c r="Y446" s="6" t="n"/>
      <c r="Z446" s="6" t="n"/>
      <c r="AA446" s="6" t="n"/>
      <c r="AB446" s="6" t="n"/>
    </row>
    <row r="447" ht="19.5" customHeight="1" s="92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6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  <c r="AA447" s="6" t="n"/>
      <c r="AB447" s="6" t="n"/>
    </row>
    <row r="448" ht="19.5" customHeight="1" s="92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6" t="n"/>
      <c r="P448" s="6" t="n"/>
      <c r="Q448" s="6" t="n"/>
      <c r="R448" s="6" t="n"/>
      <c r="S448" s="6" t="n"/>
      <c r="T448" s="6" t="n"/>
      <c r="U448" s="6" t="n"/>
      <c r="V448" s="6" t="n"/>
      <c r="W448" s="6" t="n"/>
      <c r="X448" s="6" t="n"/>
      <c r="Y448" s="6" t="n"/>
      <c r="Z448" s="6" t="n"/>
      <c r="AA448" s="6" t="n"/>
      <c r="AB448" s="6" t="n"/>
    </row>
    <row r="449" ht="19.5" customHeight="1" s="92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6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  <c r="AA449" s="6" t="n"/>
      <c r="AB449" s="6" t="n"/>
    </row>
    <row r="450" ht="19.5" customHeight="1" s="92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6" t="n"/>
      <c r="P450" s="6" t="n"/>
      <c r="Q450" s="6" t="n"/>
      <c r="R450" s="6" t="n"/>
      <c r="S450" s="6" t="n"/>
      <c r="T450" s="6" t="n"/>
      <c r="U450" s="6" t="n"/>
      <c r="V450" s="6" t="n"/>
      <c r="W450" s="6" t="n"/>
      <c r="X450" s="6" t="n"/>
      <c r="Y450" s="6" t="n"/>
      <c r="Z450" s="6" t="n"/>
      <c r="AA450" s="6" t="n"/>
      <c r="AB450" s="6" t="n"/>
    </row>
    <row r="451" ht="19.5" customHeight="1" s="92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6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  <c r="AA451" s="6" t="n"/>
      <c r="AB451" s="6" t="n"/>
    </row>
    <row r="452" ht="19.5" customHeight="1" s="92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6" t="n"/>
      <c r="P452" s="6" t="n"/>
      <c r="Q452" s="6" t="n"/>
      <c r="R452" s="6" t="n"/>
      <c r="S452" s="6" t="n"/>
      <c r="T452" s="6" t="n"/>
      <c r="U452" s="6" t="n"/>
      <c r="V452" s="6" t="n"/>
      <c r="W452" s="6" t="n"/>
      <c r="X452" s="6" t="n"/>
      <c r="Y452" s="6" t="n"/>
      <c r="Z452" s="6" t="n"/>
      <c r="AA452" s="6" t="n"/>
      <c r="AB452" s="6" t="n"/>
    </row>
    <row r="453" ht="19.5" customHeight="1" s="92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6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  <c r="AA453" s="6" t="n"/>
      <c r="AB453" s="6" t="n"/>
    </row>
    <row r="454" ht="19.5" customHeight="1" s="92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6" t="n"/>
      <c r="P454" s="6" t="n"/>
      <c r="Q454" s="6" t="n"/>
      <c r="R454" s="6" t="n"/>
      <c r="S454" s="6" t="n"/>
      <c r="T454" s="6" t="n"/>
      <c r="U454" s="6" t="n"/>
      <c r="V454" s="6" t="n"/>
      <c r="W454" s="6" t="n"/>
      <c r="X454" s="6" t="n"/>
      <c r="Y454" s="6" t="n"/>
      <c r="Z454" s="6" t="n"/>
      <c r="AA454" s="6" t="n"/>
      <c r="AB454" s="6" t="n"/>
    </row>
    <row r="455" ht="19.5" customHeight="1" s="92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6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  <c r="AA455" s="6" t="n"/>
      <c r="AB455" s="6" t="n"/>
    </row>
    <row r="456" ht="19.5" customHeight="1" s="92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6" t="n"/>
      <c r="P456" s="6" t="n"/>
      <c r="Q456" s="6" t="n"/>
      <c r="R456" s="6" t="n"/>
      <c r="S456" s="6" t="n"/>
      <c r="T456" s="6" t="n"/>
      <c r="U456" s="6" t="n"/>
      <c r="V456" s="6" t="n"/>
      <c r="W456" s="6" t="n"/>
      <c r="X456" s="6" t="n"/>
      <c r="Y456" s="6" t="n"/>
      <c r="Z456" s="6" t="n"/>
      <c r="AA456" s="6" t="n"/>
      <c r="AB456" s="6" t="n"/>
    </row>
    <row r="457" ht="19.5" customHeight="1" s="92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6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  <c r="AA457" s="6" t="n"/>
      <c r="AB457" s="6" t="n"/>
    </row>
    <row r="458" ht="19.5" customHeight="1" s="92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6" t="n"/>
      <c r="P458" s="6" t="n"/>
      <c r="Q458" s="6" t="n"/>
      <c r="R458" s="6" t="n"/>
      <c r="S458" s="6" t="n"/>
      <c r="T458" s="6" t="n"/>
      <c r="U458" s="6" t="n"/>
      <c r="V458" s="6" t="n"/>
      <c r="W458" s="6" t="n"/>
      <c r="X458" s="6" t="n"/>
      <c r="Y458" s="6" t="n"/>
      <c r="Z458" s="6" t="n"/>
      <c r="AA458" s="6" t="n"/>
      <c r="AB458" s="6" t="n"/>
    </row>
    <row r="459" ht="19.5" customHeight="1" s="92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6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  <c r="AA459" s="6" t="n"/>
      <c r="AB459" s="6" t="n"/>
    </row>
    <row r="460" ht="19.5" customHeight="1" s="92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6" t="n"/>
      <c r="P460" s="6" t="n"/>
      <c r="Q460" s="6" t="n"/>
      <c r="R460" s="6" t="n"/>
      <c r="S460" s="6" t="n"/>
      <c r="T460" s="6" t="n"/>
      <c r="U460" s="6" t="n"/>
      <c r="V460" s="6" t="n"/>
      <c r="W460" s="6" t="n"/>
      <c r="X460" s="6" t="n"/>
      <c r="Y460" s="6" t="n"/>
      <c r="Z460" s="6" t="n"/>
      <c r="AA460" s="6" t="n"/>
      <c r="AB460" s="6" t="n"/>
    </row>
    <row r="461" ht="19.5" customHeight="1" s="92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6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  <c r="AA461" s="6" t="n"/>
      <c r="AB461" s="6" t="n"/>
    </row>
    <row r="462" ht="19.5" customHeight="1" s="92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6" t="n"/>
      <c r="P462" s="6" t="n"/>
      <c r="Q462" s="6" t="n"/>
      <c r="R462" s="6" t="n"/>
      <c r="S462" s="6" t="n"/>
      <c r="T462" s="6" t="n"/>
      <c r="U462" s="6" t="n"/>
      <c r="V462" s="6" t="n"/>
      <c r="W462" s="6" t="n"/>
      <c r="X462" s="6" t="n"/>
      <c r="Y462" s="6" t="n"/>
      <c r="Z462" s="6" t="n"/>
      <c r="AA462" s="6" t="n"/>
      <c r="AB462" s="6" t="n"/>
    </row>
    <row r="463" ht="19.5" customHeight="1" s="92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6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  <c r="AA463" s="6" t="n"/>
      <c r="AB463" s="6" t="n"/>
    </row>
    <row r="464" ht="19.5" customHeight="1" s="92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6" t="n"/>
      <c r="P464" s="6" t="n"/>
      <c r="Q464" s="6" t="n"/>
      <c r="R464" s="6" t="n"/>
      <c r="S464" s="6" t="n"/>
      <c r="T464" s="6" t="n"/>
      <c r="U464" s="6" t="n"/>
      <c r="V464" s="6" t="n"/>
      <c r="W464" s="6" t="n"/>
      <c r="X464" s="6" t="n"/>
      <c r="Y464" s="6" t="n"/>
      <c r="Z464" s="6" t="n"/>
      <c r="AA464" s="6" t="n"/>
      <c r="AB464" s="6" t="n"/>
    </row>
    <row r="465" ht="19.5" customHeight="1" s="92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6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  <c r="AA465" s="6" t="n"/>
      <c r="AB465" s="6" t="n"/>
    </row>
    <row r="466" ht="19.5" customHeight="1" s="92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6" t="n"/>
      <c r="P466" s="6" t="n"/>
      <c r="Q466" s="6" t="n"/>
      <c r="R466" s="6" t="n"/>
      <c r="S466" s="6" t="n"/>
      <c r="T466" s="6" t="n"/>
      <c r="U466" s="6" t="n"/>
      <c r="V466" s="6" t="n"/>
      <c r="W466" s="6" t="n"/>
      <c r="X466" s="6" t="n"/>
      <c r="Y466" s="6" t="n"/>
      <c r="Z466" s="6" t="n"/>
      <c r="AA466" s="6" t="n"/>
      <c r="AB466" s="6" t="n"/>
    </row>
    <row r="467" ht="19.5" customHeight="1" s="92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6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  <c r="AA467" s="6" t="n"/>
      <c r="AB467" s="6" t="n"/>
    </row>
    <row r="468" ht="19.5" customHeight="1" s="92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6" t="n"/>
      <c r="P468" s="6" t="n"/>
      <c r="Q468" s="6" t="n"/>
      <c r="R468" s="6" t="n"/>
      <c r="S468" s="6" t="n"/>
      <c r="T468" s="6" t="n"/>
      <c r="U468" s="6" t="n"/>
      <c r="V468" s="6" t="n"/>
      <c r="W468" s="6" t="n"/>
      <c r="X468" s="6" t="n"/>
      <c r="Y468" s="6" t="n"/>
      <c r="Z468" s="6" t="n"/>
      <c r="AA468" s="6" t="n"/>
      <c r="AB468" s="6" t="n"/>
    </row>
    <row r="469" ht="19.5" customHeight="1" s="92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6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  <c r="AA469" s="6" t="n"/>
      <c r="AB469" s="6" t="n"/>
    </row>
    <row r="470" ht="19.5" customHeight="1" s="92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6" t="n"/>
      <c r="P470" s="6" t="n"/>
      <c r="Q470" s="6" t="n"/>
      <c r="R470" s="6" t="n"/>
      <c r="S470" s="6" t="n"/>
      <c r="T470" s="6" t="n"/>
      <c r="U470" s="6" t="n"/>
      <c r="V470" s="6" t="n"/>
      <c r="W470" s="6" t="n"/>
      <c r="X470" s="6" t="n"/>
      <c r="Y470" s="6" t="n"/>
      <c r="Z470" s="6" t="n"/>
      <c r="AA470" s="6" t="n"/>
      <c r="AB470" s="6" t="n"/>
    </row>
    <row r="471" ht="19.5" customHeight="1" s="92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6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  <c r="AA471" s="6" t="n"/>
      <c r="AB471" s="6" t="n"/>
    </row>
    <row r="472" ht="19.5" customHeight="1" s="92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6" t="n"/>
      <c r="P472" s="6" t="n"/>
      <c r="Q472" s="6" t="n"/>
      <c r="R472" s="6" t="n"/>
      <c r="S472" s="6" t="n"/>
      <c r="T472" s="6" t="n"/>
      <c r="U472" s="6" t="n"/>
      <c r="V472" s="6" t="n"/>
      <c r="W472" s="6" t="n"/>
      <c r="X472" s="6" t="n"/>
      <c r="Y472" s="6" t="n"/>
      <c r="Z472" s="6" t="n"/>
      <c r="AA472" s="6" t="n"/>
      <c r="AB472" s="6" t="n"/>
    </row>
    <row r="473" ht="19.5" customHeight="1" s="92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6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  <c r="AA473" s="6" t="n"/>
      <c r="AB473" s="6" t="n"/>
    </row>
    <row r="474" ht="19.5" customHeight="1" s="92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6" t="n"/>
      <c r="P474" s="6" t="n"/>
      <c r="Q474" s="6" t="n"/>
      <c r="R474" s="6" t="n"/>
      <c r="S474" s="6" t="n"/>
      <c r="T474" s="6" t="n"/>
      <c r="U474" s="6" t="n"/>
      <c r="V474" s="6" t="n"/>
      <c r="W474" s="6" t="n"/>
      <c r="X474" s="6" t="n"/>
      <c r="Y474" s="6" t="n"/>
      <c r="Z474" s="6" t="n"/>
      <c r="AA474" s="6" t="n"/>
      <c r="AB474" s="6" t="n"/>
    </row>
    <row r="475" ht="19.5" customHeight="1" s="92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6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  <c r="AA475" s="6" t="n"/>
      <c r="AB475" s="6" t="n"/>
    </row>
    <row r="476" ht="19.5" customHeight="1" s="92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6" t="n"/>
      <c r="P476" s="6" t="n"/>
      <c r="Q476" s="6" t="n"/>
      <c r="R476" s="6" t="n"/>
      <c r="S476" s="6" t="n"/>
      <c r="T476" s="6" t="n"/>
      <c r="U476" s="6" t="n"/>
      <c r="V476" s="6" t="n"/>
      <c r="W476" s="6" t="n"/>
      <c r="X476" s="6" t="n"/>
      <c r="Y476" s="6" t="n"/>
      <c r="Z476" s="6" t="n"/>
      <c r="AA476" s="6" t="n"/>
      <c r="AB476" s="6" t="n"/>
    </row>
    <row r="477" ht="19.5" customHeight="1" s="92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6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  <c r="AA477" s="6" t="n"/>
      <c r="AB477" s="6" t="n"/>
    </row>
    <row r="478" ht="19.5" customHeight="1" s="92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6" t="n"/>
      <c r="P478" s="6" t="n"/>
      <c r="Q478" s="6" t="n"/>
      <c r="R478" s="6" t="n"/>
      <c r="S478" s="6" t="n"/>
      <c r="T478" s="6" t="n"/>
      <c r="U478" s="6" t="n"/>
      <c r="V478" s="6" t="n"/>
      <c r="W478" s="6" t="n"/>
      <c r="X478" s="6" t="n"/>
      <c r="Y478" s="6" t="n"/>
      <c r="Z478" s="6" t="n"/>
      <c r="AA478" s="6" t="n"/>
      <c r="AB478" s="6" t="n"/>
    </row>
    <row r="479" ht="19.5" customHeight="1" s="92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6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  <c r="AA479" s="6" t="n"/>
      <c r="AB479" s="6" t="n"/>
    </row>
    <row r="480" ht="19.5" customHeight="1" s="92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6" t="n"/>
      <c r="P480" s="6" t="n"/>
      <c r="Q480" s="6" t="n"/>
      <c r="R480" s="6" t="n"/>
      <c r="S480" s="6" t="n"/>
      <c r="T480" s="6" t="n"/>
      <c r="U480" s="6" t="n"/>
      <c r="V480" s="6" t="n"/>
      <c r="W480" s="6" t="n"/>
      <c r="X480" s="6" t="n"/>
      <c r="Y480" s="6" t="n"/>
      <c r="Z480" s="6" t="n"/>
      <c r="AA480" s="6" t="n"/>
      <c r="AB480" s="6" t="n"/>
    </row>
    <row r="481" ht="19.5" customHeight="1" s="92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6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  <c r="AA481" s="6" t="n"/>
      <c r="AB481" s="6" t="n"/>
    </row>
    <row r="482" ht="19.5" customHeight="1" s="92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6" t="n"/>
      <c r="P482" s="6" t="n"/>
      <c r="Q482" s="6" t="n"/>
      <c r="R482" s="6" t="n"/>
      <c r="S482" s="6" t="n"/>
      <c r="T482" s="6" t="n"/>
      <c r="U482" s="6" t="n"/>
      <c r="V482" s="6" t="n"/>
      <c r="W482" s="6" t="n"/>
      <c r="X482" s="6" t="n"/>
      <c r="Y482" s="6" t="n"/>
      <c r="Z482" s="6" t="n"/>
      <c r="AA482" s="6" t="n"/>
      <c r="AB482" s="6" t="n"/>
    </row>
    <row r="483" ht="19.5" customHeight="1" s="92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6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  <c r="AA483" s="6" t="n"/>
      <c r="AB483" s="6" t="n"/>
    </row>
    <row r="484" ht="19.5" customHeight="1" s="92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6" t="n"/>
      <c r="P484" s="6" t="n"/>
      <c r="Q484" s="6" t="n"/>
      <c r="R484" s="6" t="n"/>
      <c r="S484" s="6" t="n"/>
      <c r="T484" s="6" t="n"/>
      <c r="U484" s="6" t="n"/>
      <c r="V484" s="6" t="n"/>
      <c r="W484" s="6" t="n"/>
      <c r="X484" s="6" t="n"/>
      <c r="Y484" s="6" t="n"/>
      <c r="Z484" s="6" t="n"/>
      <c r="AA484" s="6" t="n"/>
      <c r="AB484" s="6" t="n"/>
    </row>
    <row r="485" ht="19.5" customHeight="1" s="92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6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  <c r="AA485" s="6" t="n"/>
      <c r="AB485" s="6" t="n"/>
    </row>
    <row r="486" ht="19.5" customHeight="1" s="92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6" t="n"/>
      <c r="P486" s="6" t="n"/>
      <c r="Q486" s="6" t="n"/>
      <c r="R486" s="6" t="n"/>
      <c r="S486" s="6" t="n"/>
      <c r="T486" s="6" t="n"/>
      <c r="U486" s="6" t="n"/>
      <c r="V486" s="6" t="n"/>
      <c r="W486" s="6" t="n"/>
      <c r="X486" s="6" t="n"/>
      <c r="Y486" s="6" t="n"/>
      <c r="Z486" s="6" t="n"/>
      <c r="AA486" s="6" t="n"/>
      <c r="AB486" s="6" t="n"/>
    </row>
    <row r="487" ht="19.5" customHeight="1" s="92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6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  <c r="AA487" s="6" t="n"/>
      <c r="AB487" s="6" t="n"/>
    </row>
    <row r="488" ht="19.5" customHeight="1" s="92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6" t="n"/>
      <c r="P488" s="6" t="n"/>
      <c r="Q488" s="6" t="n"/>
      <c r="R488" s="6" t="n"/>
      <c r="S488" s="6" t="n"/>
      <c r="T488" s="6" t="n"/>
      <c r="U488" s="6" t="n"/>
      <c r="V488" s="6" t="n"/>
      <c r="W488" s="6" t="n"/>
      <c r="X488" s="6" t="n"/>
      <c r="Y488" s="6" t="n"/>
      <c r="Z488" s="6" t="n"/>
      <c r="AA488" s="6" t="n"/>
      <c r="AB488" s="6" t="n"/>
    </row>
    <row r="489" ht="19.5" customHeight="1" s="92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6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  <c r="AA489" s="6" t="n"/>
      <c r="AB489" s="6" t="n"/>
    </row>
    <row r="490" ht="19.5" customHeight="1" s="92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6" t="n"/>
      <c r="P490" s="6" t="n"/>
      <c r="Q490" s="6" t="n"/>
      <c r="R490" s="6" t="n"/>
      <c r="S490" s="6" t="n"/>
      <c r="T490" s="6" t="n"/>
      <c r="U490" s="6" t="n"/>
      <c r="V490" s="6" t="n"/>
      <c r="W490" s="6" t="n"/>
      <c r="X490" s="6" t="n"/>
      <c r="Y490" s="6" t="n"/>
      <c r="Z490" s="6" t="n"/>
      <c r="AA490" s="6" t="n"/>
      <c r="AB490" s="6" t="n"/>
    </row>
    <row r="491" ht="19.5" customHeight="1" s="92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6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  <c r="AA491" s="6" t="n"/>
      <c r="AB491" s="6" t="n"/>
    </row>
    <row r="492" ht="19.5" customHeight="1" s="92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6" t="n"/>
      <c r="P492" s="6" t="n"/>
      <c r="Q492" s="6" t="n"/>
      <c r="R492" s="6" t="n"/>
      <c r="S492" s="6" t="n"/>
      <c r="T492" s="6" t="n"/>
      <c r="U492" s="6" t="n"/>
      <c r="V492" s="6" t="n"/>
      <c r="W492" s="6" t="n"/>
      <c r="X492" s="6" t="n"/>
      <c r="Y492" s="6" t="n"/>
      <c r="Z492" s="6" t="n"/>
      <c r="AA492" s="6" t="n"/>
      <c r="AB492" s="6" t="n"/>
    </row>
    <row r="493" ht="19.5" customHeight="1" s="92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6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  <c r="AA493" s="6" t="n"/>
      <c r="AB493" s="6" t="n"/>
    </row>
    <row r="494" ht="19.5" customHeight="1" s="92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6" t="n"/>
      <c r="P494" s="6" t="n"/>
      <c r="Q494" s="6" t="n"/>
      <c r="R494" s="6" t="n"/>
      <c r="S494" s="6" t="n"/>
      <c r="T494" s="6" t="n"/>
      <c r="U494" s="6" t="n"/>
      <c r="V494" s="6" t="n"/>
      <c r="W494" s="6" t="n"/>
      <c r="X494" s="6" t="n"/>
      <c r="Y494" s="6" t="n"/>
      <c r="Z494" s="6" t="n"/>
      <c r="AA494" s="6" t="n"/>
      <c r="AB494" s="6" t="n"/>
    </row>
    <row r="495" ht="19.5" customHeight="1" s="92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6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  <c r="AA495" s="6" t="n"/>
      <c r="AB495" s="6" t="n"/>
    </row>
    <row r="496" ht="19.5" customHeight="1" s="92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6" t="n"/>
      <c r="P496" s="6" t="n"/>
      <c r="Q496" s="6" t="n"/>
      <c r="R496" s="6" t="n"/>
      <c r="S496" s="6" t="n"/>
      <c r="T496" s="6" t="n"/>
      <c r="U496" s="6" t="n"/>
      <c r="V496" s="6" t="n"/>
      <c r="W496" s="6" t="n"/>
      <c r="X496" s="6" t="n"/>
      <c r="Y496" s="6" t="n"/>
      <c r="Z496" s="6" t="n"/>
      <c r="AA496" s="6" t="n"/>
      <c r="AB496" s="6" t="n"/>
    </row>
    <row r="497" ht="19.5" customHeight="1" s="92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6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  <c r="AA497" s="6" t="n"/>
      <c r="AB497" s="6" t="n"/>
    </row>
    <row r="498" ht="19.5" customHeight="1" s="92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6" t="n"/>
      <c r="P498" s="6" t="n"/>
      <c r="Q498" s="6" t="n"/>
      <c r="R498" s="6" t="n"/>
      <c r="S498" s="6" t="n"/>
      <c r="T498" s="6" t="n"/>
      <c r="U498" s="6" t="n"/>
      <c r="V498" s="6" t="n"/>
      <c r="W498" s="6" t="n"/>
      <c r="X498" s="6" t="n"/>
      <c r="Y498" s="6" t="n"/>
      <c r="Z498" s="6" t="n"/>
      <c r="AA498" s="6" t="n"/>
      <c r="AB498" s="6" t="n"/>
    </row>
    <row r="499" ht="19.5" customHeight="1" s="92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6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  <c r="AA499" s="6" t="n"/>
      <c r="AB499" s="6" t="n"/>
    </row>
    <row r="500" ht="19.5" customHeight="1" s="92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6" t="n"/>
      <c r="P500" s="6" t="n"/>
      <c r="Q500" s="6" t="n"/>
      <c r="R500" s="6" t="n"/>
      <c r="S500" s="6" t="n"/>
      <c r="T500" s="6" t="n"/>
      <c r="U500" s="6" t="n"/>
      <c r="V500" s="6" t="n"/>
      <c r="W500" s="6" t="n"/>
      <c r="X500" s="6" t="n"/>
      <c r="Y500" s="6" t="n"/>
      <c r="Z500" s="6" t="n"/>
      <c r="AA500" s="6" t="n"/>
      <c r="AB500" s="6" t="n"/>
    </row>
    <row r="501" ht="19.5" customHeight="1" s="92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6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  <c r="AA501" s="6" t="n"/>
      <c r="AB501" s="6" t="n"/>
    </row>
    <row r="502" ht="19.5" customHeight="1" s="92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6" t="n"/>
      <c r="P502" s="6" t="n"/>
      <c r="Q502" s="6" t="n"/>
      <c r="R502" s="6" t="n"/>
      <c r="S502" s="6" t="n"/>
      <c r="T502" s="6" t="n"/>
      <c r="U502" s="6" t="n"/>
      <c r="V502" s="6" t="n"/>
      <c r="W502" s="6" t="n"/>
      <c r="X502" s="6" t="n"/>
      <c r="Y502" s="6" t="n"/>
      <c r="Z502" s="6" t="n"/>
      <c r="AA502" s="6" t="n"/>
      <c r="AB502" s="6" t="n"/>
    </row>
    <row r="503" ht="19.5" customHeight="1" s="92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6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  <c r="Y503" s="6" t="n"/>
      <c r="Z503" s="6" t="n"/>
      <c r="AA503" s="6" t="n"/>
      <c r="AB503" s="6" t="n"/>
    </row>
    <row r="504" ht="19.5" customHeight="1" s="92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6" t="n"/>
      <c r="P504" s="6" t="n"/>
      <c r="Q504" s="6" t="n"/>
      <c r="R504" s="6" t="n"/>
      <c r="S504" s="6" t="n"/>
      <c r="T504" s="6" t="n"/>
      <c r="U504" s="6" t="n"/>
      <c r="V504" s="6" t="n"/>
      <c r="W504" s="6" t="n"/>
      <c r="X504" s="6" t="n"/>
      <c r="Y504" s="6" t="n"/>
      <c r="Z504" s="6" t="n"/>
      <c r="AA504" s="6" t="n"/>
      <c r="AB504" s="6" t="n"/>
    </row>
    <row r="505" ht="19.5" customHeight="1" s="92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6" t="n"/>
      <c r="P505" s="6" t="n"/>
      <c r="Q505" s="6" t="n"/>
      <c r="R505" s="6" t="n"/>
      <c r="S505" s="6" t="n"/>
      <c r="T505" s="6" t="n"/>
      <c r="U505" s="6" t="n"/>
      <c r="V505" s="6" t="n"/>
      <c r="W505" s="6" t="n"/>
      <c r="X505" s="6" t="n"/>
      <c r="Y505" s="6" t="n"/>
      <c r="Z505" s="6" t="n"/>
      <c r="AA505" s="6" t="n"/>
      <c r="AB505" s="6" t="n"/>
    </row>
    <row r="506" ht="19.5" customHeight="1" s="92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6" t="n"/>
      <c r="P506" s="6" t="n"/>
      <c r="Q506" s="6" t="n"/>
      <c r="R506" s="6" t="n"/>
      <c r="S506" s="6" t="n"/>
      <c r="T506" s="6" t="n"/>
      <c r="U506" s="6" t="n"/>
      <c r="V506" s="6" t="n"/>
      <c r="W506" s="6" t="n"/>
      <c r="X506" s="6" t="n"/>
      <c r="Y506" s="6" t="n"/>
      <c r="Z506" s="6" t="n"/>
      <c r="AA506" s="6" t="n"/>
      <c r="AB506" s="6" t="n"/>
    </row>
    <row r="507" ht="19.5" customHeight="1" s="92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6" t="n"/>
      <c r="P507" s="6" t="n"/>
      <c r="Q507" s="6" t="n"/>
      <c r="R507" s="6" t="n"/>
      <c r="S507" s="6" t="n"/>
      <c r="T507" s="6" t="n"/>
      <c r="U507" s="6" t="n"/>
      <c r="V507" s="6" t="n"/>
      <c r="W507" s="6" t="n"/>
      <c r="X507" s="6" t="n"/>
      <c r="Y507" s="6" t="n"/>
      <c r="Z507" s="6" t="n"/>
      <c r="AA507" s="6" t="n"/>
      <c r="AB507" s="6" t="n"/>
    </row>
    <row r="508" ht="19.5" customHeight="1" s="92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6" t="n"/>
      <c r="P508" s="6" t="n"/>
      <c r="Q508" s="6" t="n"/>
      <c r="R508" s="6" t="n"/>
      <c r="S508" s="6" t="n"/>
      <c r="T508" s="6" t="n"/>
      <c r="U508" s="6" t="n"/>
      <c r="V508" s="6" t="n"/>
      <c r="W508" s="6" t="n"/>
      <c r="X508" s="6" t="n"/>
      <c r="Y508" s="6" t="n"/>
      <c r="Z508" s="6" t="n"/>
      <c r="AA508" s="6" t="n"/>
      <c r="AB508" s="6" t="n"/>
    </row>
    <row r="509" ht="19.5" customHeight="1" s="92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6" t="n"/>
      <c r="P509" s="6" t="n"/>
      <c r="Q509" s="6" t="n"/>
      <c r="R509" s="6" t="n"/>
      <c r="S509" s="6" t="n"/>
      <c r="T509" s="6" t="n"/>
      <c r="U509" s="6" t="n"/>
      <c r="V509" s="6" t="n"/>
      <c r="W509" s="6" t="n"/>
      <c r="X509" s="6" t="n"/>
      <c r="Y509" s="6" t="n"/>
      <c r="Z509" s="6" t="n"/>
      <c r="AA509" s="6" t="n"/>
      <c r="AB509" s="6" t="n"/>
    </row>
    <row r="510" ht="19.5" customHeight="1" s="92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6" t="n"/>
      <c r="P510" s="6" t="n"/>
      <c r="Q510" s="6" t="n"/>
      <c r="R510" s="6" t="n"/>
      <c r="S510" s="6" t="n"/>
      <c r="T510" s="6" t="n"/>
      <c r="U510" s="6" t="n"/>
      <c r="V510" s="6" t="n"/>
      <c r="W510" s="6" t="n"/>
      <c r="X510" s="6" t="n"/>
      <c r="Y510" s="6" t="n"/>
      <c r="Z510" s="6" t="n"/>
      <c r="AA510" s="6" t="n"/>
      <c r="AB510" s="6" t="n"/>
    </row>
    <row r="511" ht="19.5" customHeight="1" s="92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6" t="n"/>
      <c r="P511" s="6" t="n"/>
      <c r="Q511" s="6" t="n"/>
      <c r="R511" s="6" t="n"/>
      <c r="S511" s="6" t="n"/>
      <c r="T511" s="6" t="n"/>
      <c r="U511" s="6" t="n"/>
      <c r="V511" s="6" t="n"/>
      <c r="W511" s="6" t="n"/>
      <c r="X511" s="6" t="n"/>
      <c r="Y511" s="6" t="n"/>
      <c r="Z511" s="6" t="n"/>
      <c r="AA511" s="6" t="n"/>
      <c r="AB511" s="6" t="n"/>
    </row>
    <row r="512" ht="19.5" customHeight="1" s="92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6" t="n"/>
      <c r="P512" s="6" t="n"/>
      <c r="Q512" s="6" t="n"/>
      <c r="R512" s="6" t="n"/>
      <c r="S512" s="6" t="n"/>
      <c r="T512" s="6" t="n"/>
      <c r="U512" s="6" t="n"/>
      <c r="V512" s="6" t="n"/>
      <c r="W512" s="6" t="n"/>
      <c r="X512" s="6" t="n"/>
      <c r="Y512" s="6" t="n"/>
      <c r="Z512" s="6" t="n"/>
      <c r="AA512" s="6" t="n"/>
      <c r="AB512" s="6" t="n"/>
    </row>
    <row r="513" ht="19.5" customHeight="1" s="92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6" t="n"/>
      <c r="P513" s="6" t="n"/>
      <c r="Q513" s="6" t="n"/>
      <c r="R513" s="6" t="n"/>
      <c r="S513" s="6" t="n"/>
      <c r="T513" s="6" t="n"/>
      <c r="U513" s="6" t="n"/>
      <c r="V513" s="6" t="n"/>
      <c r="W513" s="6" t="n"/>
      <c r="X513" s="6" t="n"/>
      <c r="Y513" s="6" t="n"/>
      <c r="Z513" s="6" t="n"/>
      <c r="AA513" s="6" t="n"/>
      <c r="AB513" s="6" t="n"/>
    </row>
    <row r="514" ht="19.5" customHeight="1" s="92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6" t="n"/>
      <c r="P514" s="6" t="n"/>
      <c r="Q514" s="6" t="n"/>
      <c r="R514" s="6" t="n"/>
      <c r="S514" s="6" t="n"/>
      <c r="T514" s="6" t="n"/>
      <c r="U514" s="6" t="n"/>
      <c r="V514" s="6" t="n"/>
      <c r="W514" s="6" t="n"/>
      <c r="X514" s="6" t="n"/>
      <c r="Y514" s="6" t="n"/>
      <c r="Z514" s="6" t="n"/>
      <c r="AA514" s="6" t="n"/>
      <c r="AB514" s="6" t="n"/>
    </row>
    <row r="515" ht="19.5" customHeight="1" s="92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6" t="n"/>
      <c r="P515" s="6" t="n"/>
      <c r="Q515" s="6" t="n"/>
      <c r="R515" s="6" t="n"/>
      <c r="S515" s="6" t="n"/>
      <c r="T515" s="6" t="n"/>
      <c r="U515" s="6" t="n"/>
      <c r="V515" s="6" t="n"/>
      <c r="W515" s="6" t="n"/>
      <c r="X515" s="6" t="n"/>
      <c r="Y515" s="6" t="n"/>
      <c r="Z515" s="6" t="n"/>
      <c r="AA515" s="6" t="n"/>
      <c r="AB515" s="6" t="n"/>
    </row>
    <row r="516" ht="19.5" customHeight="1" s="92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6" t="n"/>
      <c r="P516" s="6" t="n"/>
      <c r="Q516" s="6" t="n"/>
      <c r="R516" s="6" t="n"/>
      <c r="S516" s="6" t="n"/>
      <c r="T516" s="6" t="n"/>
      <c r="U516" s="6" t="n"/>
      <c r="V516" s="6" t="n"/>
      <c r="W516" s="6" t="n"/>
      <c r="X516" s="6" t="n"/>
      <c r="Y516" s="6" t="n"/>
      <c r="Z516" s="6" t="n"/>
      <c r="AA516" s="6" t="n"/>
      <c r="AB516" s="6" t="n"/>
    </row>
    <row r="517" ht="19.5" customHeight="1" s="92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6" t="n"/>
      <c r="P517" s="6" t="n"/>
      <c r="Q517" s="6" t="n"/>
      <c r="R517" s="6" t="n"/>
      <c r="S517" s="6" t="n"/>
      <c r="T517" s="6" t="n"/>
      <c r="U517" s="6" t="n"/>
      <c r="V517" s="6" t="n"/>
      <c r="W517" s="6" t="n"/>
      <c r="X517" s="6" t="n"/>
      <c r="Y517" s="6" t="n"/>
      <c r="Z517" s="6" t="n"/>
      <c r="AA517" s="6" t="n"/>
      <c r="AB517" s="6" t="n"/>
    </row>
    <row r="518" ht="19.5" customHeight="1" s="92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6" t="n"/>
      <c r="P518" s="6" t="n"/>
      <c r="Q518" s="6" t="n"/>
      <c r="R518" s="6" t="n"/>
      <c r="S518" s="6" t="n"/>
      <c r="T518" s="6" t="n"/>
      <c r="U518" s="6" t="n"/>
      <c r="V518" s="6" t="n"/>
      <c r="W518" s="6" t="n"/>
      <c r="X518" s="6" t="n"/>
      <c r="Y518" s="6" t="n"/>
      <c r="Z518" s="6" t="n"/>
      <c r="AA518" s="6" t="n"/>
      <c r="AB518" s="6" t="n"/>
    </row>
    <row r="519" ht="19.5" customHeight="1" s="92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6" t="n"/>
      <c r="P519" s="6" t="n"/>
      <c r="Q519" s="6" t="n"/>
      <c r="R519" s="6" t="n"/>
      <c r="S519" s="6" t="n"/>
      <c r="T519" s="6" t="n"/>
      <c r="U519" s="6" t="n"/>
      <c r="V519" s="6" t="n"/>
      <c r="W519" s="6" t="n"/>
      <c r="X519" s="6" t="n"/>
      <c r="Y519" s="6" t="n"/>
      <c r="Z519" s="6" t="n"/>
      <c r="AA519" s="6" t="n"/>
      <c r="AB519" s="6" t="n"/>
    </row>
    <row r="520" ht="19.5" customHeight="1" s="92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6" t="n"/>
      <c r="P520" s="6" t="n"/>
      <c r="Q520" s="6" t="n"/>
      <c r="R520" s="6" t="n"/>
      <c r="S520" s="6" t="n"/>
      <c r="T520" s="6" t="n"/>
      <c r="U520" s="6" t="n"/>
      <c r="V520" s="6" t="n"/>
      <c r="W520" s="6" t="n"/>
      <c r="X520" s="6" t="n"/>
      <c r="Y520" s="6" t="n"/>
      <c r="Z520" s="6" t="n"/>
      <c r="AA520" s="6" t="n"/>
      <c r="AB520" s="6" t="n"/>
    </row>
    <row r="521" ht="19.5" customHeight="1" s="92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6" t="n"/>
      <c r="P521" s="6" t="n"/>
      <c r="Q521" s="6" t="n"/>
      <c r="R521" s="6" t="n"/>
      <c r="S521" s="6" t="n"/>
      <c r="T521" s="6" t="n"/>
      <c r="U521" s="6" t="n"/>
      <c r="V521" s="6" t="n"/>
      <c r="W521" s="6" t="n"/>
      <c r="X521" s="6" t="n"/>
      <c r="Y521" s="6" t="n"/>
      <c r="Z521" s="6" t="n"/>
      <c r="AA521" s="6" t="n"/>
      <c r="AB521" s="6" t="n"/>
    </row>
    <row r="522" ht="19.5" customHeight="1" s="92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6" t="n"/>
      <c r="P522" s="6" t="n"/>
      <c r="Q522" s="6" t="n"/>
      <c r="R522" s="6" t="n"/>
      <c r="S522" s="6" t="n"/>
      <c r="T522" s="6" t="n"/>
      <c r="U522" s="6" t="n"/>
      <c r="V522" s="6" t="n"/>
      <c r="W522" s="6" t="n"/>
      <c r="X522" s="6" t="n"/>
      <c r="Y522" s="6" t="n"/>
      <c r="Z522" s="6" t="n"/>
      <c r="AA522" s="6" t="n"/>
      <c r="AB522" s="6" t="n"/>
    </row>
    <row r="523" ht="19.5" customHeight="1" s="92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6" t="n"/>
      <c r="P523" s="6" t="n"/>
      <c r="Q523" s="6" t="n"/>
      <c r="R523" s="6" t="n"/>
      <c r="S523" s="6" t="n"/>
      <c r="T523" s="6" t="n"/>
      <c r="U523" s="6" t="n"/>
      <c r="V523" s="6" t="n"/>
      <c r="W523" s="6" t="n"/>
      <c r="X523" s="6" t="n"/>
      <c r="Y523" s="6" t="n"/>
      <c r="Z523" s="6" t="n"/>
      <c r="AA523" s="6" t="n"/>
      <c r="AB523" s="6" t="n"/>
    </row>
    <row r="524" ht="19.5" customHeight="1" s="92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6" t="n"/>
      <c r="P524" s="6" t="n"/>
      <c r="Q524" s="6" t="n"/>
      <c r="R524" s="6" t="n"/>
      <c r="S524" s="6" t="n"/>
      <c r="T524" s="6" t="n"/>
      <c r="U524" s="6" t="n"/>
      <c r="V524" s="6" t="n"/>
      <c r="W524" s="6" t="n"/>
      <c r="X524" s="6" t="n"/>
      <c r="Y524" s="6" t="n"/>
      <c r="Z524" s="6" t="n"/>
      <c r="AA524" s="6" t="n"/>
      <c r="AB524" s="6" t="n"/>
    </row>
    <row r="525" ht="19.5" customHeight="1" s="92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6" t="n"/>
      <c r="P525" s="6" t="n"/>
      <c r="Q525" s="6" t="n"/>
      <c r="R525" s="6" t="n"/>
      <c r="S525" s="6" t="n"/>
      <c r="T525" s="6" t="n"/>
      <c r="U525" s="6" t="n"/>
      <c r="V525" s="6" t="n"/>
      <c r="W525" s="6" t="n"/>
      <c r="X525" s="6" t="n"/>
      <c r="Y525" s="6" t="n"/>
      <c r="Z525" s="6" t="n"/>
      <c r="AA525" s="6" t="n"/>
      <c r="AB525" s="6" t="n"/>
    </row>
    <row r="526" ht="19.5" customHeight="1" s="92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6" t="n"/>
      <c r="P526" s="6" t="n"/>
      <c r="Q526" s="6" t="n"/>
      <c r="R526" s="6" t="n"/>
      <c r="S526" s="6" t="n"/>
      <c r="T526" s="6" t="n"/>
      <c r="U526" s="6" t="n"/>
      <c r="V526" s="6" t="n"/>
      <c r="W526" s="6" t="n"/>
      <c r="X526" s="6" t="n"/>
      <c r="Y526" s="6" t="n"/>
      <c r="Z526" s="6" t="n"/>
      <c r="AA526" s="6" t="n"/>
      <c r="AB526" s="6" t="n"/>
    </row>
    <row r="527" ht="19.5" customHeight="1" s="92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6" t="n"/>
      <c r="P527" s="6" t="n"/>
      <c r="Q527" s="6" t="n"/>
      <c r="R527" s="6" t="n"/>
      <c r="S527" s="6" t="n"/>
      <c r="T527" s="6" t="n"/>
      <c r="U527" s="6" t="n"/>
      <c r="V527" s="6" t="n"/>
      <c r="W527" s="6" t="n"/>
      <c r="X527" s="6" t="n"/>
      <c r="Y527" s="6" t="n"/>
      <c r="Z527" s="6" t="n"/>
      <c r="AA527" s="6" t="n"/>
      <c r="AB527" s="6" t="n"/>
    </row>
    <row r="528" ht="19.5" customHeight="1" s="92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6" t="n"/>
      <c r="P528" s="6" t="n"/>
      <c r="Q528" s="6" t="n"/>
      <c r="R528" s="6" t="n"/>
      <c r="S528" s="6" t="n"/>
      <c r="T528" s="6" t="n"/>
      <c r="U528" s="6" t="n"/>
      <c r="V528" s="6" t="n"/>
      <c r="W528" s="6" t="n"/>
      <c r="X528" s="6" t="n"/>
      <c r="Y528" s="6" t="n"/>
      <c r="Z528" s="6" t="n"/>
      <c r="AA528" s="6" t="n"/>
      <c r="AB528" s="6" t="n"/>
    </row>
    <row r="529" ht="19.5" customHeight="1" s="92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6" t="n"/>
      <c r="P529" s="6" t="n"/>
      <c r="Q529" s="6" t="n"/>
      <c r="R529" s="6" t="n"/>
      <c r="S529" s="6" t="n"/>
      <c r="T529" s="6" t="n"/>
      <c r="U529" s="6" t="n"/>
      <c r="V529" s="6" t="n"/>
      <c r="W529" s="6" t="n"/>
      <c r="X529" s="6" t="n"/>
      <c r="Y529" s="6" t="n"/>
      <c r="Z529" s="6" t="n"/>
      <c r="AA529" s="6" t="n"/>
      <c r="AB529" s="6" t="n"/>
    </row>
    <row r="530" ht="19.5" customHeight="1" s="92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6" t="n"/>
      <c r="P530" s="6" t="n"/>
      <c r="Q530" s="6" t="n"/>
      <c r="R530" s="6" t="n"/>
      <c r="S530" s="6" t="n"/>
      <c r="T530" s="6" t="n"/>
      <c r="U530" s="6" t="n"/>
      <c r="V530" s="6" t="n"/>
      <c r="W530" s="6" t="n"/>
      <c r="X530" s="6" t="n"/>
      <c r="Y530" s="6" t="n"/>
      <c r="Z530" s="6" t="n"/>
      <c r="AA530" s="6" t="n"/>
      <c r="AB530" s="6" t="n"/>
    </row>
    <row r="531" ht="19.5" customHeight="1" s="92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6" t="n"/>
      <c r="P531" s="6" t="n"/>
      <c r="Q531" s="6" t="n"/>
      <c r="R531" s="6" t="n"/>
      <c r="S531" s="6" t="n"/>
      <c r="T531" s="6" t="n"/>
      <c r="U531" s="6" t="n"/>
      <c r="V531" s="6" t="n"/>
      <c r="W531" s="6" t="n"/>
      <c r="X531" s="6" t="n"/>
      <c r="Y531" s="6" t="n"/>
      <c r="Z531" s="6" t="n"/>
      <c r="AA531" s="6" t="n"/>
      <c r="AB531" s="6" t="n"/>
    </row>
    <row r="532" ht="19.5" customHeight="1" s="92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6" t="n"/>
      <c r="P532" s="6" t="n"/>
      <c r="Q532" s="6" t="n"/>
      <c r="R532" s="6" t="n"/>
      <c r="S532" s="6" t="n"/>
      <c r="T532" s="6" t="n"/>
      <c r="U532" s="6" t="n"/>
      <c r="V532" s="6" t="n"/>
      <c r="W532" s="6" t="n"/>
      <c r="X532" s="6" t="n"/>
      <c r="Y532" s="6" t="n"/>
      <c r="Z532" s="6" t="n"/>
      <c r="AA532" s="6" t="n"/>
      <c r="AB532" s="6" t="n"/>
    </row>
    <row r="533" ht="19.5" customHeight="1" s="92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6" t="n"/>
      <c r="P533" s="6" t="n"/>
      <c r="Q533" s="6" t="n"/>
      <c r="R533" s="6" t="n"/>
      <c r="S533" s="6" t="n"/>
      <c r="T533" s="6" t="n"/>
      <c r="U533" s="6" t="n"/>
      <c r="V533" s="6" t="n"/>
      <c r="W533" s="6" t="n"/>
      <c r="X533" s="6" t="n"/>
      <c r="Y533" s="6" t="n"/>
      <c r="Z533" s="6" t="n"/>
      <c r="AA533" s="6" t="n"/>
      <c r="AB533" s="6" t="n"/>
    </row>
    <row r="534" ht="19.5" customHeight="1" s="92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6" t="n"/>
      <c r="P534" s="6" t="n"/>
      <c r="Q534" s="6" t="n"/>
      <c r="R534" s="6" t="n"/>
      <c r="S534" s="6" t="n"/>
      <c r="T534" s="6" t="n"/>
      <c r="U534" s="6" t="n"/>
      <c r="V534" s="6" t="n"/>
      <c r="W534" s="6" t="n"/>
      <c r="X534" s="6" t="n"/>
      <c r="Y534" s="6" t="n"/>
      <c r="Z534" s="6" t="n"/>
      <c r="AA534" s="6" t="n"/>
      <c r="AB534" s="6" t="n"/>
    </row>
    <row r="535" ht="19.5" customHeight="1" s="92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6" t="n"/>
      <c r="P535" s="6" t="n"/>
      <c r="Q535" s="6" t="n"/>
      <c r="R535" s="6" t="n"/>
      <c r="S535" s="6" t="n"/>
      <c r="T535" s="6" t="n"/>
      <c r="U535" s="6" t="n"/>
      <c r="V535" s="6" t="n"/>
      <c r="W535" s="6" t="n"/>
      <c r="X535" s="6" t="n"/>
      <c r="Y535" s="6" t="n"/>
      <c r="Z535" s="6" t="n"/>
      <c r="AA535" s="6" t="n"/>
      <c r="AB535" s="6" t="n"/>
    </row>
    <row r="536" ht="19.5" customHeight="1" s="92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6" t="n"/>
      <c r="P536" s="6" t="n"/>
      <c r="Q536" s="6" t="n"/>
      <c r="R536" s="6" t="n"/>
      <c r="S536" s="6" t="n"/>
      <c r="T536" s="6" t="n"/>
      <c r="U536" s="6" t="n"/>
      <c r="V536" s="6" t="n"/>
      <c r="W536" s="6" t="n"/>
      <c r="X536" s="6" t="n"/>
      <c r="Y536" s="6" t="n"/>
      <c r="Z536" s="6" t="n"/>
      <c r="AA536" s="6" t="n"/>
      <c r="AB536" s="6" t="n"/>
    </row>
    <row r="537" ht="19.5" customHeight="1" s="92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6" t="n"/>
      <c r="P537" s="6" t="n"/>
      <c r="Q537" s="6" t="n"/>
      <c r="R537" s="6" t="n"/>
      <c r="S537" s="6" t="n"/>
      <c r="T537" s="6" t="n"/>
      <c r="U537" s="6" t="n"/>
      <c r="V537" s="6" t="n"/>
      <c r="W537" s="6" t="n"/>
      <c r="X537" s="6" t="n"/>
      <c r="Y537" s="6" t="n"/>
      <c r="Z537" s="6" t="n"/>
      <c r="AA537" s="6" t="n"/>
      <c r="AB537" s="6" t="n"/>
    </row>
    <row r="538" ht="19.5" customHeight="1" s="92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6" t="n"/>
      <c r="P538" s="6" t="n"/>
      <c r="Q538" s="6" t="n"/>
      <c r="R538" s="6" t="n"/>
      <c r="S538" s="6" t="n"/>
      <c r="T538" s="6" t="n"/>
      <c r="U538" s="6" t="n"/>
      <c r="V538" s="6" t="n"/>
      <c r="W538" s="6" t="n"/>
      <c r="X538" s="6" t="n"/>
      <c r="Y538" s="6" t="n"/>
      <c r="Z538" s="6" t="n"/>
      <c r="AA538" s="6" t="n"/>
      <c r="AB538" s="6" t="n"/>
    </row>
    <row r="539" ht="19.5" customHeight="1" s="92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6" t="n"/>
      <c r="P539" s="6" t="n"/>
      <c r="Q539" s="6" t="n"/>
      <c r="R539" s="6" t="n"/>
      <c r="S539" s="6" t="n"/>
      <c r="T539" s="6" t="n"/>
      <c r="U539" s="6" t="n"/>
      <c r="V539" s="6" t="n"/>
      <c r="W539" s="6" t="n"/>
      <c r="X539" s="6" t="n"/>
      <c r="Y539" s="6" t="n"/>
      <c r="Z539" s="6" t="n"/>
      <c r="AA539" s="6" t="n"/>
      <c r="AB539" s="6" t="n"/>
    </row>
    <row r="540" ht="19.5" customHeight="1" s="92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6" t="n"/>
      <c r="P540" s="6" t="n"/>
      <c r="Q540" s="6" t="n"/>
      <c r="R540" s="6" t="n"/>
      <c r="S540" s="6" t="n"/>
      <c r="T540" s="6" t="n"/>
      <c r="U540" s="6" t="n"/>
      <c r="V540" s="6" t="n"/>
      <c r="W540" s="6" t="n"/>
      <c r="X540" s="6" t="n"/>
      <c r="Y540" s="6" t="n"/>
      <c r="Z540" s="6" t="n"/>
      <c r="AA540" s="6" t="n"/>
      <c r="AB540" s="6" t="n"/>
    </row>
    <row r="541" ht="19.5" customHeight="1" s="92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6" t="n"/>
      <c r="P541" s="6" t="n"/>
      <c r="Q541" s="6" t="n"/>
      <c r="R541" s="6" t="n"/>
      <c r="S541" s="6" t="n"/>
      <c r="T541" s="6" t="n"/>
      <c r="U541" s="6" t="n"/>
      <c r="V541" s="6" t="n"/>
      <c r="W541" s="6" t="n"/>
      <c r="X541" s="6" t="n"/>
      <c r="Y541" s="6" t="n"/>
      <c r="Z541" s="6" t="n"/>
      <c r="AA541" s="6" t="n"/>
      <c r="AB541" s="6" t="n"/>
    </row>
    <row r="542" ht="19.5" customHeight="1" s="92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6" t="n"/>
      <c r="P542" s="6" t="n"/>
      <c r="Q542" s="6" t="n"/>
      <c r="R542" s="6" t="n"/>
      <c r="S542" s="6" t="n"/>
      <c r="T542" s="6" t="n"/>
      <c r="U542" s="6" t="n"/>
      <c r="V542" s="6" t="n"/>
      <c r="W542" s="6" t="n"/>
      <c r="X542" s="6" t="n"/>
      <c r="Y542" s="6" t="n"/>
      <c r="Z542" s="6" t="n"/>
      <c r="AA542" s="6" t="n"/>
      <c r="AB542" s="6" t="n"/>
    </row>
    <row r="543" ht="19.5" customHeight="1" s="92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6" t="n"/>
      <c r="P543" s="6" t="n"/>
      <c r="Q543" s="6" t="n"/>
      <c r="R543" s="6" t="n"/>
      <c r="S543" s="6" t="n"/>
      <c r="T543" s="6" t="n"/>
      <c r="U543" s="6" t="n"/>
      <c r="V543" s="6" t="n"/>
      <c r="W543" s="6" t="n"/>
      <c r="X543" s="6" t="n"/>
      <c r="Y543" s="6" t="n"/>
      <c r="Z543" s="6" t="n"/>
      <c r="AA543" s="6" t="n"/>
      <c r="AB543" s="6" t="n"/>
    </row>
    <row r="544" ht="19.5" customHeight="1" s="92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6" t="n"/>
      <c r="P544" s="6" t="n"/>
      <c r="Q544" s="6" t="n"/>
      <c r="R544" s="6" t="n"/>
      <c r="S544" s="6" t="n"/>
      <c r="T544" s="6" t="n"/>
      <c r="U544" s="6" t="n"/>
      <c r="V544" s="6" t="n"/>
      <c r="W544" s="6" t="n"/>
      <c r="X544" s="6" t="n"/>
      <c r="Y544" s="6" t="n"/>
      <c r="Z544" s="6" t="n"/>
      <c r="AA544" s="6" t="n"/>
      <c r="AB544" s="6" t="n"/>
    </row>
    <row r="545" ht="19.5" customHeight="1" s="92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6" t="n"/>
      <c r="P545" s="6" t="n"/>
      <c r="Q545" s="6" t="n"/>
      <c r="R545" s="6" t="n"/>
      <c r="S545" s="6" t="n"/>
      <c r="T545" s="6" t="n"/>
      <c r="U545" s="6" t="n"/>
      <c r="V545" s="6" t="n"/>
      <c r="W545" s="6" t="n"/>
      <c r="X545" s="6" t="n"/>
      <c r="Y545" s="6" t="n"/>
      <c r="Z545" s="6" t="n"/>
      <c r="AA545" s="6" t="n"/>
      <c r="AB545" s="6" t="n"/>
    </row>
    <row r="546" ht="19.5" customHeight="1" s="92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6" t="n"/>
      <c r="P546" s="6" t="n"/>
      <c r="Q546" s="6" t="n"/>
      <c r="R546" s="6" t="n"/>
      <c r="S546" s="6" t="n"/>
      <c r="T546" s="6" t="n"/>
      <c r="U546" s="6" t="n"/>
      <c r="V546" s="6" t="n"/>
      <c r="W546" s="6" t="n"/>
      <c r="X546" s="6" t="n"/>
      <c r="Y546" s="6" t="n"/>
      <c r="Z546" s="6" t="n"/>
      <c r="AA546" s="6" t="n"/>
      <c r="AB546" s="6" t="n"/>
    </row>
    <row r="547" ht="19.5" customHeight="1" s="92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6" t="n"/>
      <c r="P547" s="6" t="n"/>
      <c r="Q547" s="6" t="n"/>
      <c r="R547" s="6" t="n"/>
      <c r="S547" s="6" t="n"/>
      <c r="T547" s="6" t="n"/>
      <c r="U547" s="6" t="n"/>
      <c r="V547" s="6" t="n"/>
      <c r="W547" s="6" t="n"/>
      <c r="X547" s="6" t="n"/>
      <c r="Y547" s="6" t="n"/>
      <c r="Z547" s="6" t="n"/>
      <c r="AA547" s="6" t="n"/>
      <c r="AB547" s="6" t="n"/>
    </row>
    <row r="548" ht="19.5" customHeight="1" s="92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6" t="n"/>
      <c r="P548" s="6" t="n"/>
      <c r="Q548" s="6" t="n"/>
      <c r="R548" s="6" t="n"/>
      <c r="S548" s="6" t="n"/>
      <c r="T548" s="6" t="n"/>
      <c r="U548" s="6" t="n"/>
      <c r="V548" s="6" t="n"/>
      <c r="W548" s="6" t="n"/>
      <c r="X548" s="6" t="n"/>
      <c r="Y548" s="6" t="n"/>
      <c r="Z548" s="6" t="n"/>
      <c r="AA548" s="6" t="n"/>
      <c r="AB548" s="6" t="n"/>
    </row>
    <row r="549" ht="19.5" customHeight="1" s="92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6" t="n"/>
      <c r="P549" s="6" t="n"/>
      <c r="Q549" s="6" t="n"/>
      <c r="R549" s="6" t="n"/>
      <c r="S549" s="6" t="n"/>
      <c r="T549" s="6" t="n"/>
      <c r="U549" s="6" t="n"/>
      <c r="V549" s="6" t="n"/>
      <c r="W549" s="6" t="n"/>
      <c r="X549" s="6" t="n"/>
      <c r="Y549" s="6" t="n"/>
      <c r="Z549" s="6" t="n"/>
      <c r="AA549" s="6" t="n"/>
      <c r="AB549" s="6" t="n"/>
    </row>
    <row r="550" ht="19.5" customHeight="1" s="92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6" t="n"/>
      <c r="P550" s="6" t="n"/>
      <c r="Q550" s="6" t="n"/>
      <c r="R550" s="6" t="n"/>
      <c r="S550" s="6" t="n"/>
      <c r="T550" s="6" t="n"/>
      <c r="U550" s="6" t="n"/>
      <c r="V550" s="6" t="n"/>
      <c r="W550" s="6" t="n"/>
      <c r="X550" s="6" t="n"/>
      <c r="Y550" s="6" t="n"/>
      <c r="Z550" s="6" t="n"/>
      <c r="AA550" s="6" t="n"/>
      <c r="AB550" s="6" t="n"/>
    </row>
    <row r="551" ht="19.5" customHeight="1" s="92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6" t="n"/>
      <c r="P551" s="6" t="n"/>
      <c r="Q551" s="6" t="n"/>
      <c r="R551" s="6" t="n"/>
      <c r="S551" s="6" t="n"/>
      <c r="T551" s="6" t="n"/>
      <c r="U551" s="6" t="n"/>
      <c r="V551" s="6" t="n"/>
      <c r="W551" s="6" t="n"/>
      <c r="X551" s="6" t="n"/>
      <c r="Y551" s="6" t="n"/>
      <c r="Z551" s="6" t="n"/>
      <c r="AA551" s="6" t="n"/>
      <c r="AB551" s="6" t="n"/>
    </row>
    <row r="552" ht="19.5" customHeight="1" s="92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6" t="n"/>
      <c r="P552" s="6" t="n"/>
      <c r="Q552" s="6" t="n"/>
      <c r="R552" s="6" t="n"/>
      <c r="S552" s="6" t="n"/>
      <c r="T552" s="6" t="n"/>
      <c r="U552" s="6" t="n"/>
      <c r="V552" s="6" t="n"/>
      <c r="W552" s="6" t="n"/>
      <c r="X552" s="6" t="n"/>
      <c r="Y552" s="6" t="n"/>
      <c r="Z552" s="6" t="n"/>
      <c r="AA552" s="6" t="n"/>
      <c r="AB552" s="6" t="n"/>
    </row>
    <row r="553" ht="19.5" customHeight="1" s="92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6" t="n"/>
      <c r="P553" s="6" t="n"/>
      <c r="Q553" s="6" t="n"/>
      <c r="R553" s="6" t="n"/>
      <c r="S553" s="6" t="n"/>
      <c r="T553" s="6" t="n"/>
      <c r="U553" s="6" t="n"/>
      <c r="V553" s="6" t="n"/>
      <c r="W553" s="6" t="n"/>
      <c r="X553" s="6" t="n"/>
      <c r="Y553" s="6" t="n"/>
      <c r="Z553" s="6" t="n"/>
      <c r="AA553" s="6" t="n"/>
      <c r="AB553" s="6" t="n"/>
    </row>
    <row r="554" ht="19.5" customHeight="1" s="92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6" t="n"/>
      <c r="P554" s="6" t="n"/>
      <c r="Q554" s="6" t="n"/>
      <c r="R554" s="6" t="n"/>
      <c r="S554" s="6" t="n"/>
      <c r="T554" s="6" t="n"/>
      <c r="U554" s="6" t="n"/>
      <c r="V554" s="6" t="n"/>
      <c r="W554" s="6" t="n"/>
      <c r="X554" s="6" t="n"/>
      <c r="Y554" s="6" t="n"/>
      <c r="Z554" s="6" t="n"/>
      <c r="AA554" s="6" t="n"/>
      <c r="AB554" s="6" t="n"/>
    </row>
    <row r="555" ht="19.5" customHeight="1" s="92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6" t="n"/>
      <c r="P555" s="6" t="n"/>
      <c r="Q555" s="6" t="n"/>
      <c r="R555" s="6" t="n"/>
      <c r="S555" s="6" t="n"/>
      <c r="T555" s="6" t="n"/>
      <c r="U555" s="6" t="n"/>
      <c r="V555" s="6" t="n"/>
      <c r="W555" s="6" t="n"/>
      <c r="X555" s="6" t="n"/>
      <c r="Y555" s="6" t="n"/>
      <c r="Z555" s="6" t="n"/>
      <c r="AA555" s="6" t="n"/>
      <c r="AB555" s="6" t="n"/>
    </row>
    <row r="556" ht="19.5" customHeight="1" s="92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6" t="n"/>
      <c r="P556" s="6" t="n"/>
      <c r="Q556" s="6" t="n"/>
      <c r="R556" s="6" t="n"/>
      <c r="S556" s="6" t="n"/>
      <c r="T556" s="6" t="n"/>
      <c r="U556" s="6" t="n"/>
      <c r="V556" s="6" t="n"/>
      <c r="W556" s="6" t="n"/>
      <c r="X556" s="6" t="n"/>
      <c r="Y556" s="6" t="n"/>
      <c r="Z556" s="6" t="n"/>
      <c r="AA556" s="6" t="n"/>
      <c r="AB556" s="6" t="n"/>
    </row>
    <row r="557" ht="19.5" customHeight="1" s="92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6" t="n"/>
      <c r="P557" s="6" t="n"/>
      <c r="Q557" s="6" t="n"/>
      <c r="R557" s="6" t="n"/>
      <c r="S557" s="6" t="n"/>
      <c r="T557" s="6" t="n"/>
      <c r="U557" s="6" t="n"/>
      <c r="V557" s="6" t="n"/>
      <c r="W557" s="6" t="n"/>
      <c r="X557" s="6" t="n"/>
      <c r="Y557" s="6" t="n"/>
      <c r="Z557" s="6" t="n"/>
      <c r="AA557" s="6" t="n"/>
      <c r="AB557" s="6" t="n"/>
    </row>
    <row r="558" ht="19.5" customHeight="1" s="92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6" t="n"/>
      <c r="P558" s="6" t="n"/>
      <c r="Q558" s="6" t="n"/>
      <c r="R558" s="6" t="n"/>
      <c r="S558" s="6" t="n"/>
      <c r="T558" s="6" t="n"/>
      <c r="U558" s="6" t="n"/>
      <c r="V558" s="6" t="n"/>
      <c r="W558" s="6" t="n"/>
      <c r="X558" s="6" t="n"/>
      <c r="Y558" s="6" t="n"/>
      <c r="Z558" s="6" t="n"/>
      <c r="AA558" s="6" t="n"/>
      <c r="AB558" s="6" t="n"/>
    </row>
    <row r="559" ht="19.5" customHeight="1" s="92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6" t="n"/>
      <c r="P559" s="6" t="n"/>
      <c r="Q559" s="6" t="n"/>
      <c r="R559" s="6" t="n"/>
      <c r="S559" s="6" t="n"/>
      <c r="T559" s="6" t="n"/>
      <c r="U559" s="6" t="n"/>
      <c r="V559" s="6" t="n"/>
      <c r="W559" s="6" t="n"/>
      <c r="X559" s="6" t="n"/>
      <c r="Y559" s="6" t="n"/>
      <c r="Z559" s="6" t="n"/>
      <c r="AA559" s="6" t="n"/>
      <c r="AB559" s="6" t="n"/>
    </row>
    <row r="560" ht="19.5" customHeight="1" s="92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6" t="n"/>
      <c r="P560" s="6" t="n"/>
      <c r="Q560" s="6" t="n"/>
      <c r="R560" s="6" t="n"/>
      <c r="S560" s="6" t="n"/>
      <c r="T560" s="6" t="n"/>
      <c r="U560" s="6" t="n"/>
      <c r="V560" s="6" t="n"/>
      <c r="W560" s="6" t="n"/>
      <c r="X560" s="6" t="n"/>
      <c r="Y560" s="6" t="n"/>
      <c r="Z560" s="6" t="n"/>
      <c r="AA560" s="6" t="n"/>
      <c r="AB560" s="6" t="n"/>
    </row>
    <row r="561" ht="19.5" customHeight="1" s="92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6" t="n"/>
      <c r="P561" s="6" t="n"/>
      <c r="Q561" s="6" t="n"/>
      <c r="R561" s="6" t="n"/>
      <c r="S561" s="6" t="n"/>
      <c r="T561" s="6" t="n"/>
      <c r="U561" s="6" t="n"/>
      <c r="V561" s="6" t="n"/>
      <c r="W561" s="6" t="n"/>
      <c r="X561" s="6" t="n"/>
      <c r="Y561" s="6" t="n"/>
      <c r="Z561" s="6" t="n"/>
      <c r="AA561" s="6" t="n"/>
      <c r="AB561" s="6" t="n"/>
    </row>
    <row r="562" ht="19.5" customHeight="1" s="92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6" t="n"/>
      <c r="P562" s="6" t="n"/>
      <c r="Q562" s="6" t="n"/>
      <c r="R562" s="6" t="n"/>
      <c r="S562" s="6" t="n"/>
      <c r="T562" s="6" t="n"/>
      <c r="U562" s="6" t="n"/>
      <c r="V562" s="6" t="n"/>
      <c r="W562" s="6" t="n"/>
      <c r="X562" s="6" t="n"/>
      <c r="Y562" s="6" t="n"/>
      <c r="Z562" s="6" t="n"/>
      <c r="AA562" s="6" t="n"/>
      <c r="AB562" s="6" t="n"/>
    </row>
    <row r="563" ht="19.5" customHeight="1" s="92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6" t="n"/>
      <c r="P563" s="6" t="n"/>
      <c r="Q563" s="6" t="n"/>
      <c r="R563" s="6" t="n"/>
      <c r="S563" s="6" t="n"/>
      <c r="T563" s="6" t="n"/>
      <c r="U563" s="6" t="n"/>
      <c r="V563" s="6" t="n"/>
      <c r="W563" s="6" t="n"/>
      <c r="X563" s="6" t="n"/>
      <c r="Y563" s="6" t="n"/>
      <c r="Z563" s="6" t="n"/>
      <c r="AA563" s="6" t="n"/>
      <c r="AB563" s="6" t="n"/>
    </row>
    <row r="564" ht="19.5" customHeight="1" s="92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6" t="n"/>
      <c r="P564" s="6" t="n"/>
      <c r="Q564" s="6" t="n"/>
      <c r="R564" s="6" t="n"/>
      <c r="S564" s="6" t="n"/>
      <c r="T564" s="6" t="n"/>
      <c r="U564" s="6" t="n"/>
      <c r="V564" s="6" t="n"/>
      <c r="W564" s="6" t="n"/>
      <c r="X564" s="6" t="n"/>
      <c r="Y564" s="6" t="n"/>
      <c r="Z564" s="6" t="n"/>
      <c r="AA564" s="6" t="n"/>
      <c r="AB564" s="6" t="n"/>
    </row>
    <row r="565" ht="19.5" customHeight="1" s="92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6" t="n"/>
      <c r="P565" s="6" t="n"/>
      <c r="Q565" s="6" t="n"/>
      <c r="R565" s="6" t="n"/>
      <c r="S565" s="6" t="n"/>
      <c r="T565" s="6" t="n"/>
      <c r="U565" s="6" t="n"/>
      <c r="V565" s="6" t="n"/>
      <c r="W565" s="6" t="n"/>
      <c r="X565" s="6" t="n"/>
      <c r="Y565" s="6" t="n"/>
      <c r="Z565" s="6" t="n"/>
      <c r="AA565" s="6" t="n"/>
      <c r="AB565" s="6" t="n"/>
    </row>
    <row r="566" ht="19.5" customHeight="1" s="92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6" t="n"/>
      <c r="P566" s="6" t="n"/>
      <c r="Q566" s="6" t="n"/>
      <c r="R566" s="6" t="n"/>
      <c r="S566" s="6" t="n"/>
      <c r="T566" s="6" t="n"/>
      <c r="U566" s="6" t="n"/>
      <c r="V566" s="6" t="n"/>
      <c r="W566" s="6" t="n"/>
      <c r="X566" s="6" t="n"/>
      <c r="Y566" s="6" t="n"/>
      <c r="Z566" s="6" t="n"/>
      <c r="AA566" s="6" t="n"/>
      <c r="AB566" s="6" t="n"/>
    </row>
    <row r="567" ht="19.5" customHeight="1" s="92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6" t="n"/>
      <c r="P567" s="6" t="n"/>
      <c r="Q567" s="6" t="n"/>
      <c r="R567" s="6" t="n"/>
      <c r="S567" s="6" t="n"/>
      <c r="T567" s="6" t="n"/>
      <c r="U567" s="6" t="n"/>
      <c r="V567" s="6" t="n"/>
      <c r="W567" s="6" t="n"/>
      <c r="X567" s="6" t="n"/>
      <c r="Y567" s="6" t="n"/>
      <c r="Z567" s="6" t="n"/>
      <c r="AA567" s="6" t="n"/>
      <c r="AB567" s="6" t="n"/>
    </row>
    <row r="568" ht="19.5" customHeight="1" s="92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6" t="n"/>
      <c r="P568" s="6" t="n"/>
      <c r="Q568" s="6" t="n"/>
      <c r="R568" s="6" t="n"/>
      <c r="S568" s="6" t="n"/>
      <c r="T568" s="6" t="n"/>
      <c r="U568" s="6" t="n"/>
      <c r="V568" s="6" t="n"/>
      <c r="W568" s="6" t="n"/>
      <c r="X568" s="6" t="n"/>
      <c r="Y568" s="6" t="n"/>
      <c r="Z568" s="6" t="n"/>
      <c r="AA568" s="6" t="n"/>
      <c r="AB568" s="6" t="n"/>
    </row>
    <row r="569" ht="19.5" customHeight="1" s="92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6" t="n"/>
      <c r="P569" s="6" t="n"/>
      <c r="Q569" s="6" t="n"/>
      <c r="R569" s="6" t="n"/>
      <c r="S569" s="6" t="n"/>
      <c r="T569" s="6" t="n"/>
      <c r="U569" s="6" t="n"/>
      <c r="V569" s="6" t="n"/>
      <c r="W569" s="6" t="n"/>
      <c r="X569" s="6" t="n"/>
      <c r="Y569" s="6" t="n"/>
      <c r="Z569" s="6" t="n"/>
      <c r="AA569" s="6" t="n"/>
      <c r="AB569" s="6" t="n"/>
    </row>
    <row r="570" ht="19.5" customHeight="1" s="92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6" t="n"/>
      <c r="P570" s="6" t="n"/>
      <c r="Q570" s="6" t="n"/>
      <c r="R570" s="6" t="n"/>
      <c r="S570" s="6" t="n"/>
      <c r="T570" s="6" t="n"/>
      <c r="U570" s="6" t="n"/>
      <c r="V570" s="6" t="n"/>
      <c r="W570" s="6" t="n"/>
      <c r="X570" s="6" t="n"/>
      <c r="Y570" s="6" t="n"/>
      <c r="Z570" s="6" t="n"/>
      <c r="AA570" s="6" t="n"/>
      <c r="AB570" s="6" t="n"/>
    </row>
    <row r="571" ht="19.5" customHeight="1" s="92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6" t="n"/>
      <c r="P571" s="6" t="n"/>
      <c r="Q571" s="6" t="n"/>
      <c r="R571" s="6" t="n"/>
      <c r="S571" s="6" t="n"/>
      <c r="T571" s="6" t="n"/>
      <c r="U571" s="6" t="n"/>
      <c r="V571" s="6" t="n"/>
      <c r="W571" s="6" t="n"/>
      <c r="X571" s="6" t="n"/>
      <c r="Y571" s="6" t="n"/>
      <c r="Z571" s="6" t="n"/>
      <c r="AA571" s="6" t="n"/>
      <c r="AB571" s="6" t="n"/>
    </row>
    <row r="572" ht="19.5" customHeight="1" s="92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6" t="n"/>
      <c r="P572" s="6" t="n"/>
      <c r="Q572" s="6" t="n"/>
      <c r="R572" s="6" t="n"/>
      <c r="S572" s="6" t="n"/>
      <c r="T572" s="6" t="n"/>
      <c r="U572" s="6" t="n"/>
      <c r="V572" s="6" t="n"/>
      <c r="W572" s="6" t="n"/>
      <c r="X572" s="6" t="n"/>
      <c r="Y572" s="6" t="n"/>
      <c r="Z572" s="6" t="n"/>
      <c r="AA572" s="6" t="n"/>
      <c r="AB572" s="6" t="n"/>
    </row>
    <row r="573" ht="19.5" customHeight="1" s="92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6" t="n"/>
      <c r="P573" s="6" t="n"/>
      <c r="Q573" s="6" t="n"/>
      <c r="R573" s="6" t="n"/>
      <c r="S573" s="6" t="n"/>
      <c r="T573" s="6" t="n"/>
      <c r="U573" s="6" t="n"/>
      <c r="V573" s="6" t="n"/>
      <c r="W573" s="6" t="n"/>
      <c r="X573" s="6" t="n"/>
      <c r="Y573" s="6" t="n"/>
      <c r="Z573" s="6" t="n"/>
      <c r="AA573" s="6" t="n"/>
      <c r="AB573" s="6" t="n"/>
    </row>
    <row r="574" ht="19.5" customHeight="1" s="92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6" t="n"/>
      <c r="P574" s="6" t="n"/>
      <c r="Q574" s="6" t="n"/>
      <c r="R574" s="6" t="n"/>
      <c r="S574" s="6" t="n"/>
      <c r="T574" s="6" t="n"/>
      <c r="U574" s="6" t="n"/>
      <c r="V574" s="6" t="n"/>
      <c r="W574" s="6" t="n"/>
      <c r="X574" s="6" t="n"/>
      <c r="Y574" s="6" t="n"/>
      <c r="Z574" s="6" t="n"/>
      <c r="AA574" s="6" t="n"/>
      <c r="AB574" s="6" t="n"/>
    </row>
    <row r="575" ht="19.5" customHeight="1" s="92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6" t="n"/>
      <c r="P575" s="6" t="n"/>
      <c r="Q575" s="6" t="n"/>
      <c r="R575" s="6" t="n"/>
      <c r="S575" s="6" t="n"/>
      <c r="T575" s="6" t="n"/>
      <c r="U575" s="6" t="n"/>
      <c r="V575" s="6" t="n"/>
      <c r="W575" s="6" t="n"/>
      <c r="X575" s="6" t="n"/>
      <c r="Y575" s="6" t="n"/>
      <c r="Z575" s="6" t="n"/>
      <c r="AA575" s="6" t="n"/>
      <c r="AB575" s="6" t="n"/>
    </row>
    <row r="576" ht="19.5" customHeight="1" s="92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6" t="n"/>
      <c r="P576" s="6" t="n"/>
      <c r="Q576" s="6" t="n"/>
      <c r="R576" s="6" t="n"/>
      <c r="S576" s="6" t="n"/>
      <c r="T576" s="6" t="n"/>
      <c r="U576" s="6" t="n"/>
      <c r="V576" s="6" t="n"/>
      <c r="W576" s="6" t="n"/>
      <c r="X576" s="6" t="n"/>
      <c r="Y576" s="6" t="n"/>
      <c r="Z576" s="6" t="n"/>
      <c r="AA576" s="6" t="n"/>
      <c r="AB576" s="6" t="n"/>
    </row>
    <row r="577" ht="19.5" customHeight="1" s="92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6" t="n"/>
      <c r="P577" s="6" t="n"/>
      <c r="Q577" s="6" t="n"/>
      <c r="R577" s="6" t="n"/>
      <c r="S577" s="6" t="n"/>
      <c r="T577" s="6" t="n"/>
      <c r="U577" s="6" t="n"/>
      <c r="V577" s="6" t="n"/>
      <c r="W577" s="6" t="n"/>
      <c r="X577" s="6" t="n"/>
      <c r="Y577" s="6" t="n"/>
      <c r="Z577" s="6" t="n"/>
      <c r="AA577" s="6" t="n"/>
      <c r="AB577" s="6" t="n"/>
    </row>
    <row r="578" ht="19.5" customHeight="1" s="92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6" t="n"/>
      <c r="P578" s="6" t="n"/>
      <c r="Q578" s="6" t="n"/>
      <c r="R578" s="6" t="n"/>
      <c r="S578" s="6" t="n"/>
      <c r="T578" s="6" t="n"/>
      <c r="U578" s="6" t="n"/>
      <c r="V578" s="6" t="n"/>
      <c r="W578" s="6" t="n"/>
      <c r="X578" s="6" t="n"/>
      <c r="Y578" s="6" t="n"/>
      <c r="Z578" s="6" t="n"/>
      <c r="AA578" s="6" t="n"/>
      <c r="AB578" s="6" t="n"/>
    </row>
    <row r="579" ht="19.5" customHeight="1" s="92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6" t="n"/>
      <c r="P579" s="6" t="n"/>
      <c r="Q579" s="6" t="n"/>
      <c r="R579" s="6" t="n"/>
      <c r="S579" s="6" t="n"/>
      <c r="T579" s="6" t="n"/>
      <c r="U579" s="6" t="n"/>
      <c r="V579" s="6" t="n"/>
      <c r="W579" s="6" t="n"/>
      <c r="X579" s="6" t="n"/>
      <c r="Y579" s="6" t="n"/>
      <c r="Z579" s="6" t="n"/>
      <c r="AA579" s="6" t="n"/>
      <c r="AB579" s="6" t="n"/>
    </row>
    <row r="580" ht="19.5" customHeight="1" s="92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6" t="n"/>
      <c r="P580" s="6" t="n"/>
      <c r="Q580" s="6" t="n"/>
      <c r="R580" s="6" t="n"/>
      <c r="S580" s="6" t="n"/>
      <c r="T580" s="6" t="n"/>
      <c r="U580" s="6" t="n"/>
      <c r="V580" s="6" t="n"/>
      <c r="W580" s="6" t="n"/>
      <c r="X580" s="6" t="n"/>
      <c r="Y580" s="6" t="n"/>
      <c r="Z580" s="6" t="n"/>
      <c r="AA580" s="6" t="n"/>
      <c r="AB580" s="6" t="n"/>
    </row>
    <row r="581" ht="19.5" customHeight="1" s="92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6" t="n"/>
      <c r="P581" s="6" t="n"/>
      <c r="Q581" s="6" t="n"/>
      <c r="R581" s="6" t="n"/>
      <c r="S581" s="6" t="n"/>
      <c r="T581" s="6" t="n"/>
      <c r="U581" s="6" t="n"/>
      <c r="V581" s="6" t="n"/>
      <c r="W581" s="6" t="n"/>
      <c r="X581" s="6" t="n"/>
      <c r="Y581" s="6" t="n"/>
      <c r="Z581" s="6" t="n"/>
      <c r="AA581" s="6" t="n"/>
      <c r="AB581" s="6" t="n"/>
    </row>
    <row r="582" ht="19.5" customHeight="1" s="92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6" t="n"/>
      <c r="P582" s="6" t="n"/>
      <c r="Q582" s="6" t="n"/>
      <c r="R582" s="6" t="n"/>
      <c r="S582" s="6" t="n"/>
      <c r="T582" s="6" t="n"/>
      <c r="U582" s="6" t="n"/>
      <c r="V582" s="6" t="n"/>
      <c r="W582" s="6" t="n"/>
      <c r="X582" s="6" t="n"/>
      <c r="Y582" s="6" t="n"/>
      <c r="Z582" s="6" t="n"/>
      <c r="AA582" s="6" t="n"/>
      <c r="AB582" s="6" t="n"/>
    </row>
    <row r="583" ht="19.5" customHeight="1" s="92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6" t="n"/>
      <c r="P583" s="6" t="n"/>
      <c r="Q583" s="6" t="n"/>
      <c r="R583" s="6" t="n"/>
      <c r="S583" s="6" t="n"/>
      <c r="T583" s="6" t="n"/>
      <c r="U583" s="6" t="n"/>
      <c r="V583" s="6" t="n"/>
      <c r="W583" s="6" t="n"/>
      <c r="X583" s="6" t="n"/>
      <c r="Y583" s="6" t="n"/>
      <c r="Z583" s="6" t="n"/>
      <c r="AA583" s="6" t="n"/>
      <c r="AB583" s="6" t="n"/>
    </row>
    <row r="584" ht="19.5" customHeight="1" s="92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6" t="n"/>
      <c r="P584" s="6" t="n"/>
      <c r="Q584" s="6" t="n"/>
      <c r="R584" s="6" t="n"/>
      <c r="S584" s="6" t="n"/>
      <c r="T584" s="6" t="n"/>
      <c r="U584" s="6" t="n"/>
      <c r="V584" s="6" t="n"/>
      <c r="W584" s="6" t="n"/>
      <c r="X584" s="6" t="n"/>
      <c r="Y584" s="6" t="n"/>
      <c r="Z584" s="6" t="n"/>
      <c r="AA584" s="6" t="n"/>
      <c r="AB584" s="6" t="n"/>
    </row>
    <row r="585" ht="19.5" customHeight="1" s="92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6" t="n"/>
      <c r="P585" s="6" t="n"/>
      <c r="Q585" s="6" t="n"/>
      <c r="R585" s="6" t="n"/>
      <c r="S585" s="6" t="n"/>
      <c r="T585" s="6" t="n"/>
      <c r="U585" s="6" t="n"/>
      <c r="V585" s="6" t="n"/>
      <c r="W585" s="6" t="n"/>
      <c r="X585" s="6" t="n"/>
      <c r="Y585" s="6" t="n"/>
      <c r="Z585" s="6" t="n"/>
      <c r="AA585" s="6" t="n"/>
      <c r="AB585" s="6" t="n"/>
    </row>
    <row r="586" ht="19.5" customHeight="1" s="92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6" t="n"/>
      <c r="P586" s="6" t="n"/>
      <c r="Q586" s="6" t="n"/>
      <c r="R586" s="6" t="n"/>
      <c r="S586" s="6" t="n"/>
      <c r="T586" s="6" t="n"/>
      <c r="U586" s="6" t="n"/>
      <c r="V586" s="6" t="n"/>
      <c r="W586" s="6" t="n"/>
      <c r="X586" s="6" t="n"/>
      <c r="Y586" s="6" t="n"/>
      <c r="Z586" s="6" t="n"/>
      <c r="AA586" s="6" t="n"/>
      <c r="AB586" s="6" t="n"/>
    </row>
    <row r="587" ht="19.5" customHeight="1" s="92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6" t="n"/>
      <c r="P587" s="6" t="n"/>
      <c r="Q587" s="6" t="n"/>
      <c r="R587" s="6" t="n"/>
      <c r="S587" s="6" t="n"/>
      <c r="T587" s="6" t="n"/>
      <c r="U587" s="6" t="n"/>
      <c r="V587" s="6" t="n"/>
      <c r="W587" s="6" t="n"/>
      <c r="X587" s="6" t="n"/>
      <c r="Y587" s="6" t="n"/>
      <c r="Z587" s="6" t="n"/>
      <c r="AA587" s="6" t="n"/>
      <c r="AB587" s="6" t="n"/>
    </row>
    <row r="588" ht="19.5" customHeight="1" s="92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6" t="n"/>
      <c r="P588" s="6" t="n"/>
      <c r="Q588" s="6" t="n"/>
      <c r="R588" s="6" t="n"/>
      <c r="S588" s="6" t="n"/>
      <c r="T588" s="6" t="n"/>
      <c r="U588" s="6" t="n"/>
      <c r="V588" s="6" t="n"/>
      <c r="W588" s="6" t="n"/>
      <c r="X588" s="6" t="n"/>
      <c r="Y588" s="6" t="n"/>
      <c r="Z588" s="6" t="n"/>
      <c r="AA588" s="6" t="n"/>
      <c r="AB588" s="6" t="n"/>
    </row>
    <row r="589" ht="19.5" customHeight="1" s="92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6" t="n"/>
      <c r="P589" s="6" t="n"/>
      <c r="Q589" s="6" t="n"/>
      <c r="R589" s="6" t="n"/>
      <c r="S589" s="6" t="n"/>
      <c r="T589" s="6" t="n"/>
      <c r="U589" s="6" t="n"/>
      <c r="V589" s="6" t="n"/>
      <c r="W589" s="6" t="n"/>
      <c r="X589" s="6" t="n"/>
      <c r="Y589" s="6" t="n"/>
      <c r="Z589" s="6" t="n"/>
      <c r="AA589" s="6" t="n"/>
      <c r="AB589" s="6" t="n"/>
    </row>
    <row r="590" ht="19.5" customHeight="1" s="92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6" t="n"/>
      <c r="P590" s="6" t="n"/>
      <c r="Q590" s="6" t="n"/>
      <c r="R590" s="6" t="n"/>
      <c r="S590" s="6" t="n"/>
      <c r="T590" s="6" t="n"/>
      <c r="U590" s="6" t="n"/>
      <c r="V590" s="6" t="n"/>
      <c r="W590" s="6" t="n"/>
      <c r="X590" s="6" t="n"/>
      <c r="Y590" s="6" t="n"/>
      <c r="Z590" s="6" t="n"/>
      <c r="AA590" s="6" t="n"/>
      <c r="AB590" s="6" t="n"/>
    </row>
    <row r="591" ht="19.5" customHeight="1" s="92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6" t="n"/>
      <c r="P591" s="6" t="n"/>
      <c r="Q591" s="6" t="n"/>
      <c r="R591" s="6" t="n"/>
      <c r="S591" s="6" t="n"/>
      <c r="T591" s="6" t="n"/>
      <c r="U591" s="6" t="n"/>
      <c r="V591" s="6" t="n"/>
      <c r="W591" s="6" t="n"/>
      <c r="X591" s="6" t="n"/>
      <c r="Y591" s="6" t="n"/>
      <c r="Z591" s="6" t="n"/>
      <c r="AA591" s="6" t="n"/>
      <c r="AB591" s="6" t="n"/>
    </row>
    <row r="592" ht="19.5" customHeight="1" s="92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6" t="n"/>
      <c r="P592" s="6" t="n"/>
      <c r="Q592" s="6" t="n"/>
      <c r="R592" s="6" t="n"/>
      <c r="S592" s="6" t="n"/>
      <c r="T592" s="6" t="n"/>
      <c r="U592" s="6" t="n"/>
      <c r="V592" s="6" t="n"/>
      <c r="W592" s="6" t="n"/>
      <c r="X592" s="6" t="n"/>
      <c r="Y592" s="6" t="n"/>
      <c r="Z592" s="6" t="n"/>
      <c r="AA592" s="6" t="n"/>
      <c r="AB592" s="6" t="n"/>
    </row>
    <row r="593" ht="19.5" customHeight="1" s="92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6" t="n"/>
      <c r="P593" s="6" t="n"/>
      <c r="Q593" s="6" t="n"/>
      <c r="R593" s="6" t="n"/>
      <c r="S593" s="6" t="n"/>
      <c r="T593" s="6" t="n"/>
      <c r="U593" s="6" t="n"/>
      <c r="V593" s="6" t="n"/>
      <c r="W593" s="6" t="n"/>
      <c r="X593" s="6" t="n"/>
      <c r="Y593" s="6" t="n"/>
      <c r="Z593" s="6" t="n"/>
      <c r="AA593" s="6" t="n"/>
      <c r="AB593" s="6" t="n"/>
    </row>
    <row r="594" ht="19.5" customHeight="1" s="92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6" t="n"/>
      <c r="P594" s="6" t="n"/>
      <c r="Q594" s="6" t="n"/>
      <c r="R594" s="6" t="n"/>
      <c r="S594" s="6" t="n"/>
      <c r="T594" s="6" t="n"/>
      <c r="U594" s="6" t="n"/>
      <c r="V594" s="6" t="n"/>
      <c r="W594" s="6" t="n"/>
      <c r="X594" s="6" t="n"/>
      <c r="Y594" s="6" t="n"/>
      <c r="Z594" s="6" t="n"/>
      <c r="AA594" s="6" t="n"/>
      <c r="AB594" s="6" t="n"/>
    </row>
    <row r="595" ht="19.5" customHeight="1" s="92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6" t="n"/>
      <c r="P595" s="6" t="n"/>
      <c r="Q595" s="6" t="n"/>
      <c r="R595" s="6" t="n"/>
      <c r="S595" s="6" t="n"/>
      <c r="T595" s="6" t="n"/>
      <c r="U595" s="6" t="n"/>
      <c r="V595" s="6" t="n"/>
      <c r="W595" s="6" t="n"/>
      <c r="X595" s="6" t="n"/>
      <c r="Y595" s="6" t="n"/>
      <c r="Z595" s="6" t="n"/>
      <c r="AA595" s="6" t="n"/>
      <c r="AB595" s="6" t="n"/>
    </row>
    <row r="596" ht="19.5" customHeight="1" s="92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6" t="n"/>
      <c r="P596" s="6" t="n"/>
      <c r="Q596" s="6" t="n"/>
      <c r="R596" s="6" t="n"/>
      <c r="S596" s="6" t="n"/>
      <c r="T596" s="6" t="n"/>
      <c r="U596" s="6" t="n"/>
      <c r="V596" s="6" t="n"/>
      <c r="W596" s="6" t="n"/>
      <c r="X596" s="6" t="n"/>
      <c r="Y596" s="6" t="n"/>
      <c r="Z596" s="6" t="n"/>
      <c r="AA596" s="6" t="n"/>
      <c r="AB596" s="6" t="n"/>
    </row>
    <row r="597" ht="19.5" customHeight="1" s="92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6" t="n"/>
      <c r="P597" s="6" t="n"/>
      <c r="Q597" s="6" t="n"/>
      <c r="R597" s="6" t="n"/>
      <c r="S597" s="6" t="n"/>
      <c r="T597" s="6" t="n"/>
      <c r="U597" s="6" t="n"/>
      <c r="V597" s="6" t="n"/>
      <c r="W597" s="6" t="n"/>
      <c r="X597" s="6" t="n"/>
      <c r="Y597" s="6" t="n"/>
      <c r="Z597" s="6" t="n"/>
      <c r="AA597" s="6" t="n"/>
      <c r="AB597" s="6" t="n"/>
    </row>
    <row r="598" ht="19.5" customHeight="1" s="92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6" t="n"/>
      <c r="P598" s="6" t="n"/>
      <c r="Q598" s="6" t="n"/>
      <c r="R598" s="6" t="n"/>
      <c r="S598" s="6" t="n"/>
      <c r="T598" s="6" t="n"/>
      <c r="U598" s="6" t="n"/>
      <c r="V598" s="6" t="n"/>
      <c r="W598" s="6" t="n"/>
      <c r="X598" s="6" t="n"/>
      <c r="Y598" s="6" t="n"/>
      <c r="Z598" s="6" t="n"/>
      <c r="AA598" s="6" t="n"/>
      <c r="AB598" s="6" t="n"/>
    </row>
    <row r="599" ht="19.5" customHeight="1" s="92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6" t="n"/>
      <c r="P599" s="6" t="n"/>
      <c r="Q599" s="6" t="n"/>
      <c r="R599" s="6" t="n"/>
      <c r="S599" s="6" t="n"/>
      <c r="T599" s="6" t="n"/>
      <c r="U599" s="6" t="n"/>
      <c r="V599" s="6" t="n"/>
      <c r="W599" s="6" t="n"/>
      <c r="X599" s="6" t="n"/>
      <c r="Y599" s="6" t="n"/>
      <c r="Z599" s="6" t="n"/>
      <c r="AA599" s="6" t="n"/>
      <c r="AB599" s="6" t="n"/>
    </row>
    <row r="600" ht="19.5" customHeight="1" s="92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6" t="n"/>
      <c r="P600" s="6" t="n"/>
      <c r="Q600" s="6" t="n"/>
      <c r="R600" s="6" t="n"/>
      <c r="S600" s="6" t="n"/>
      <c r="T600" s="6" t="n"/>
      <c r="U600" s="6" t="n"/>
      <c r="V600" s="6" t="n"/>
      <c r="W600" s="6" t="n"/>
      <c r="X600" s="6" t="n"/>
      <c r="Y600" s="6" t="n"/>
      <c r="Z600" s="6" t="n"/>
      <c r="AA600" s="6" t="n"/>
      <c r="AB600" s="6" t="n"/>
    </row>
    <row r="601" ht="19.5" customHeight="1" s="92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6" t="n"/>
      <c r="P601" s="6" t="n"/>
      <c r="Q601" s="6" t="n"/>
      <c r="R601" s="6" t="n"/>
      <c r="S601" s="6" t="n"/>
      <c r="T601" s="6" t="n"/>
      <c r="U601" s="6" t="n"/>
      <c r="V601" s="6" t="n"/>
      <c r="W601" s="6" t="n"/>
      <c r="X601" s="6" t="n"/>
      <c r="Y601" s="6" t="n"/>
      <c r="Z601" s="6" t="n"/>
      <c r="AA601" s="6" t="n"/>
      <c r="AB601" s="6" t="n"/>
    </row>
    <row r="602" ht="19.5" customHeight="1" s="92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6" t="n"/>
      <c r="P602" s="6" t="n"/>
      <c r="Q602" s="6" t="n"/>
      <c r="R602" s="6" t="n"/>
      <c r="S602" s="6" t="n"/>
      <c r="T602" s="6" t="n"/>
      <c r="U602" s="6" t="n"/>
      <c r="V602" s="6" t="n"/>
      <c r="W602" s="6" t="n"/>
      <c r="X602" s="6" t="n"/>
      <c r="Y602" s="6" t="n"/>
      <c r="Z602" s="6" t="n"/>
      <c r="AA602" s="6" t="n"/>
      <c r="AB602" s="6" t="n"/>
    </row>
    <row r="603" ht="19.5" customHeight="1" s="92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6" t="n"/>
      <c r="P603" s="6" t="n"/>
      <c r="Q603" s="6" t="n"/>
      <c r="R603" s="6" t="n"/>
      <c r="S603" s="6" t="n"/>
      <c r="T603" s="6" t="n"/>
      <c r="U603" s="6" t="n"/>
      <c r="V603" s="6" t="n"/>
      <c r="W603" s="6" t="n"/>
      <c r="X603" s="6" t="n"/>
      <c r="Y603" s="6" t="n"/>
      <c r="Z603" s="6" t="n"/>
      <c r="AA603" s="6" t="n"/>
      <c r="AB603" s="6" t="n"/>
    </row>
    <row r="604" ht="19.5" customHeight="1" s="92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6" t="n"/>
      <c r="P604" s="6" t="n"/>
      <c r="Q604" s="6" t="n"/>
      <c r="R604" s="6" t="n"/>
      <c r="S604" s="6" t="n"/>
      <c r="T604" s="6" t="n"/>
      <c r="U604" s="6" t="n"/>
      <c r="V604" s="6" t="n"/>
      <c r="W604" s="6" t="n"/>
      <c r="X604" s="6" t="n"/>
      <c r="Y604" s="6" t="n"/>
      <c r="Z604" s="6" t="n"/>
      <c r="AA604" s="6" t="n"/>
      <c r="AB604" s="6" t="n"/>
    </row>
    <row r="605" ht="19.5" customHeight="1" s="92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6" t="n"/>
      <c r="P605" s="6" t="n"/>
      <c r="Q605" s="6" t="n"/>
      <c r="R605" s="6" t="n"/>
      <c r="S605" s="6" t="n"/>
      <c r="T605" s="6" t="n"/>
      <c r="U605" s="6" t="n"/>
      <c r="V605" s="6" t="n"/>
      <c r="W605" s="6" t="n"/>
      <c r="X605" s="6" t="n"/>
      <c r="Y605" s="6" t="n"/>
      <c r="Z605" s="6" t="n"/>
      <c r="AA605" s="6" t="n"/>
      <c r="AB605" s="6" t="n"/>
    </row>
    <row r="606" ht="19.5" customHeight="1" s="92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6" t="n"/>
      <c r="P606" s="6" t="n"/>
      <c r="Q606" s="6" t="n"/>
      <c r="R606" s="6" t="n"/>
      <c r="S606" s="6" t="n"/>
      <c r="T606" s="6" t="n"/>
      <c r="U606" s="6" t="n"/>
      <c r="V606" s="6" t="n"/>
      <c r="W606" s="6" t="n"/>
      <c r="X606" s="6" t="n"/>
      <c r="Y606" s="6" t="n"/>
      <c r="Z606" s="6" t="n"/>
      <c r="AA606" s="6" t="n"/>
      <c r="AB606" s="6" t="n"/>
    </row>
    <row r="607" ht="19.5" customHeight="1" s="92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6" t="n"/>
      <c r="P607" s="6" t="n"/>
      <c r="Q607" s="6" t="n"/>
      <c r="R607" s="6" t="n"/>
      <c r="S607" s="6" t="n"/>
      <c r="T607" s="6" t="n"/>
      <c r="U607" s="6" t="n"/>
      <c r="V607" s="6" t="n"/>
      <c r="W607" s="6" t="n"/>
      <c r="X607" s="6" t="n"/>
      <c r="Y607" s="6" t="n"/>
      <c r="Z607" s="6" t="n"/>
      <c r="AA607" s="6" t="n"/>
      <c r="AB607" s="6" t="n"/>
    </row>
    <row r="608" ht="19.5" customHeight="1" s="92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6" t="n"/>
      <c r="P608" s="6" t="n"/>
      <c r="Q608" s="6" t="n"/>
      <c r="R608" s="6" t="n"/>
      <c r="S608" s="6" t="n"/>
      <c r="T608" s="6" t="n"/>
      <c r="U608" s="6" t="n"/>
      <c r="V608" s="6" t="n"/>
      <c r="W608" s="6" t="n"/>
      <c r="X608" s="6" t="n"/>
      <c r="Y608" s="6" t="n"/>
      <c r="Z608" s="6" t="n"/>
      <c r="AA608" s="6" t="n"/>
      <c r="AB608" s="6" t="n"/>
    </row>
    <row r="609" ht="19.5" customHeight="1" s="92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6" t="n"/>
      <c r="P609" s="6" t="n"/>
      <c r="Q609" s="6" t="n"/>
      <c r="R609" s="6" t="n"/>
      <c r="S609" s="6" t="n"/>
      <c r="T609" s="6" t="n"/>
      <c r="U609" s="6" t="n"/>
      <c r="V609" s="6" t="n"/>
      <c r="W609" s="6" t="n"/>
      <c r="X609" s="6" t="n"/>
      <c r="Y609" s="6" t="n"/>
      <c r="Z609" s="6" t="n"/>
      <c r="AA609" s="6" t="n"/>
      <c r="AB609" s="6" t="n"/>
    </row>
    <row r="610" ht="19.5" customHeight="1" s="92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6" t="n"/>
      <c r="P610" s="6" t="n"/>
      <c r="Q610" s="6" t="n"/>
      <c r="R610" s="6" t="n"/>
      <c r="S610" s="6" t="n"/>
      <c r="T610" s="6" t="n"/>
      <c r="U610" s="6" t="n"/>
      <c r="V610" s="6" t="n"/>
      <c r="W610" s="6" t="n"/>
      <c r="X610" s="6" t="n"/>
      <c r="Y610" s="6" t="n"/>
      <c r="Z610" s="6" t="n"/>
      <c r="AA610" s="6" t="n"/>
      <c r="AB610" s="6" t="n"/>
    </row>
    <row r="611" ht="19.5" customHeight="1" s="92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6" t="n"/>
      <c r="P611" s="6" t="n"/>
      <c r="Q611" s="6" t="n"/>
      <c r="R611" s="6" t="n"/>
      <c r="S611" s="6" t="n"/>
      <c r="T611" s="6" t="n"/>
      <c r="U611" s="6" t="n"/>
      <c r="V611" s="6" t="n"/>
      <c r="W611" s="6" t="n"/>
      <c r="X611" s="6" t="n"/>
      <c r="Y611" s="6" t="n"/>
      <c r="Z611" s="6" t="n"/>
      <c r="AA611" s="6" t="n"/>
      <c r="AB611" s="6" t="n"/>
    </row>
    <row r="612" ht="19.5" customHeight="1" s="92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6" t="n"/>
      <c r="P612" s="6" t="n"/>
      <c r="Q612" s="6" t="n"/>
      <c r="R612" s="6" t="n"/>
      <c r="S612" s="6" t="n"/>
      <c r="T612" s="6" t="n"/>
      <c r="U612" s="6" t="n"/>
      <c r="V612" s="6" t="n"/>
      <c r="W612" s="6" t="n"/>
      <c r="X612" s="6" t="n"/>
      <c r="Y612" s="6" t="n"/>
      <c r="Z612" s="6" t="n"/>
      <c r="AA612" s="6" t="n"/>
      <c r="AB612" s="6" t="n"/>
    </row>
    <row r="613" ht="19.5" customHeight="1" s="92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6" t="n"/>
      <c r="P613" s="6" t="n"/>
      <c r="Q613" s="6" t="n"/>
      <c r="R613" s="6" t="n"/>
      <c r="S613" s="6" t="n"/>
      <c r="T613" s="6" t="n"/>
      <c r="U613" s="6" t="n"/>
      <c r="V613" s="6" t="n"/>
      <c r="W613" s="6" t="n"/>
      <c r="X613" s="6" t="n"/>
      <c r="Y613" s="6" t="n"/>
      <c r="Z613" s="6" t="n"/>
      <c r="AA613" s="6" t="n"/>
      <c r="AB613" s="6" t="n"/>
    </row>
    <row r="614" ht="19.5" customHeight="1" s="92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6" t="n"/>
      <c r="P614" s="6" t="n"/>
      <c r="Q614" s="6" t="n"/>
      <c r="R614" s="6" t="n"/>
      <c r="S614" s="6" t="n"/>
      <c r="T614" s="6" t="n"/>
      <c r="U614" s="6" t="n"/>
      <c r="V614" s="6" t="n"/>
      <c r="W614" s="6" t="n"/>
      <c r="X614" s="6" t="n"/>
      <c r="Y614" s="6" t="n"/>
      <c r="Z614" s="6" t="n"/>
      <c r="AA614" s="6" t="n"/>
      <c r="AB614" s="6" t="n"/>
    </row>
    <row r="615" ht="19.5" customHeight="1" s="92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6" t="n"/>
      <c r="P615" s="6" t="n"/>
      <c r="Q615" s="6" t="n"/>
      <c r="R615" s="6" t="n"/>
      <c r="S615" s="6" t="n"/>
      <c r="T615" s="6" t="n"/>
      <c r="U615" s="6" t="n"/>
      <c r="V615" s="6" t="n"/>
      <c r="W615" s="6" t="n"/>
      <c r="X615" s="6" t="n"/>
      <c r="Y615" s="6" t="n"/>
      <c r="Z615" s="6" t="n"/>
      <c r="AA615" s="6" t="n"/>
      <c r="AB615" s="6" t="n"/>
    </row>
    <row r="616" ht="19.5" customHeight="1" s="92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6" t="n"/>
      <c r="P616" s="6" t="n"/>
      <c r="Q616" s="6" t="n"/>
      <c r="R616" s="6" t="n"/>
      <c r="S616" s="6" t="n"/>
      <c r="T616" s="6" t="n"/>
      <c r="U616" s="6" t="n"/>
      <c r="V616" s="6" t="n"/>
      <c r="W616" s="6" t="n"/>
      <c r="X616" s="6" t="n"/>
      <c r="Y616" s="6" t="n"/>
      <c r="Z616" s="6" t="n"/>
      <c r="AA616" s="6" t="n"/>
      <c r="AB616" s="6" t="n"/>
    </row>
    <row r="617" ht="19.5" customHeight="1" s="92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6" t="n"/>
      <c r="P617" s="6" t="n"/>
      <c r="Q617" s="6" t="n"/>
      <c r="R617" s="6" t="n"/>
      <c r="S617" s="6" t="n"/>
      <c r="T617" s="6" t="n"/>
      <c r="U617" s="6" t="n"/>
      <c r="V617" s="6" t="n"/>
      <c r="W617" s="6" t="n"/>
      <c r="X617" s="6" t="n"/>
      <c r="Y617" s="6" t="n"/>
      <c r="Z617" s="6" t="n"/>
      <c r="AA617" s="6" t="n"/>
      <c r="AB617" s="6" t="n"/>
    </row>
    <row r="618" ht="19.5" customHeight="1" s="92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6" t="n"/>
      <c r="P618" s="6" t="n"/>
      <c r="Q618" s="6" t="n"/>
      <c r="R618" s="6" t="n"/>
      <c r="S618" s="6" t="n"/>
      <c r="T618" s="6" t="n"/>
      <c r="U618" s="6" t="n"/>
      <c r="V618" s="6" t="n"/>
      <c r="W618" s="6" t="n"/>
      <c r="X618" s="6" t="n"/>
      <c r="Y618" s="6" t="n"/>
      <c r="Z618" s="6" t="n"/>
      <c r="AA618" s="6" t="n"/>
      <c r="AB618" s="6" t="n"/>
    </row>
    <row r="619" ht="19.5" customHeight="1" s="92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6" t="n"/>
      <c r="P619" s="6" t="n"/>
      <c r="Q619" s="6" t="n"/>
      <c r="R619" s="6" t="n"/>
      <c r="S619" s="6" t="n"/>
      <c r="T619" s="6" t="n"/>
      <c r="U619" s="6" t="n"/>
      <c r="V619" s="6" t="n"/>
      <c r="W619" s="6" t="n"/>
      <c r="X619" s="6" t="n"/>
      <c r="Y619" s="6" t="n"/>
      <c r="Z619" s="6" t="n"/>
      <c r="AA619" s="6" t="n"/>
      <c r="AB619" s="6" t="n"/>
    </row>
    <row r="620" ht="19.5" customHeight="1" s="92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6" t="n"/>
      <c r="P620" s="6" t="n"/>
      <c r="Q620" s="6" t="n"/>
      <c r="R620" s="6" t="n"/>
      <c r="S620" s="6" t="n"/>
      <c r="T620" s="6" t="n"/>
      <c r="U620" s="6" t="n"/>
      <c r="V620" s="6" t="n"/>
      <c r="W620" s="6" t="n"/>
      <c r="X620" s="6" t="n"/>
      <c r="Y620" s="6" t="n"/>
      <c r="Z620" s="6" t="n"/>
      <c r="AA620" s="6" t="n"/>
      <c r="AB620" s="6" t="n"/>
    </row>
    <row r="621" ht="19.5" customHeight="1" s="92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6" t="n"/>
      <c r="P621" s="6" t="n"/>
      <c r="Q621" s="6" t="n"/>
      <c r="R621" s="6" t="n"/>
      <c r="S621" s="6" t="n"/>
      <c r="T621" s="6" t="n"/>
      <c r="U621" s="6" t="n"/>
      <c r="V621" s="6" t="n"/>
      <c r="W621" s="6" t="n"/>
      <c r="X621" s="6" t="n"/>
      <c r="Y621" s="6" t="n"/>
      <c r="Z621" s="6" t="n"/>
      <c r="AA621" s="6" t="n"/>
      <c r="AB621" s="6" t="n"/>
    </row>
    <row r="622" ht="19.5" customHeight="1" s="92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6" t="n"/>
      <c r="P622" s="6" t="n"/>
      <c r="Q622" s="6" t="n"/>
      <c r="R622" s="6" t="n"/>
      <c r="S622" s="6" t="n"/>
      <c r="T622" s="6" t="n"/>
      <c r="U622" s="6" t="n"/>
      <c r="V622" s="6" t="n"/>
      <c r="W622" s="6" t="n"/>
      <c r="X622" s="6" t="n"/>
      <c r="Y622" s="6" t="n"/>
      <c r="Z622" s="6" t="n"/>
      <c r="AA622" s="6" t="n"/>
      <c r="AB622" s="6" t="n"/>
    </row>
    <row r="623" ht="19.5" customHeight="1" s="92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6" t="n"/>
      <c r="P623" s="6" t="n"/>
      <c r="Q623" s="6" t="n"/>
      <c r="R623" s="6" t="n"/>
      <c r="S623" s="6" t="n"/>
      <c r="T623" s="6" t="n"/>
      <c r="U623" s="6" t="n"/>
      <c r="V623" s="6" t="n"/>
      <c r="W623" s="6" t="n"/>
      <c r="X623" s="6" t="n"/>
      <c r="Y623" s="6" t="n"/>
      <c r="Z623" s="6" t="n"/>
      <c r="AA623" s="6" t="n"/>
      <c r="AB623" s="6" t="n"/>
    </row>
    <row r="624" ht="19.5" customHeight="1" s="92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6" t="n"/>
      <c r="P624" s="6" t="n"/>
      <c r="Q624" s="6" t="n"/>
      <c r="R624" s="6" t="n"/>
      <c r="S624" s="6" t="n"/>
      <c r="T624" s="6" t="n"/>
      <c r="U624" s="6" t="n"/>
      <c r="V624" s="6" t="n"/>
      <c r="W624" s="6" t="n"/>
      <c r="X624" s="6" t="n"/>
      <c r="Y624" s="6" t="n"/>
      <c r="Z624" s="6" t="n"/>
      <c r="AA624" s="6" t="n"/>
      <c r="AB624" s="6" t="n"/>
    </row>
    <row r="625" ht="19.5" customHeight="1" s="92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6" t="n"/>
      <c r="P625" s="6" t="n"/>
      <c r="Q625" s="6" t="n"/>
      <c r="R625" s="6" t="n"/>
      <c r="S625" s="6" t="n"/>
      <c r="T625" s="6" t="n"/>
      <c r="U625" s="6" t="n"/>
      <c r="V625" s="6" t="n"/>
      <c r="W625" s="6" t="n"/>
      <c r="X625" s="6" t="n"/>
      <c r="Y625" s="6" t="n"/>
      <c r="Z625" s="6" t="n"/>
      <c r="AA625" s="6" t="n"/>
      <c r="AB625" s="6" t="n"/>
    </row>
    <row r="626" ht="19.5" customHeight="1" s="92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6" t="n"/>
      <c r="P626" s="6" t="n"/>
      <c r="Q626" s="6" t="n"/>
      <c r="R626" s="6" t="n"/>
      <c r="S626" s="6" t="n"/>
      <c r="T626" s="6" t="n"/>
      <c r="U626" s="6" t="n"/>
      <c r="V626" s="6" t="n"/>
      <c r="W626" s="6" t="n"/>
      <c r="X626" s="6" t="n"/>
      <c r="Y626" s="6" t="n"/>
      <c r="Z626" s="6" t="n"/>
      <c r="AA626" s="6" t="n"/>
      <c r="AB626" s="6" t="n"/>
    </row>
    <row r="627" ht="19.5" customHeight="1" s="92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6" t="n"/>
      <c r="P627" s="6" t="n"/>
      <c r="Q627" s="6" t="n"/>
      <c r="R627" s="6" t="n"/>
      <c r="S627" s="6" t="n"/>
      <c r="T627" s="6" t="n"/>
      <c r="U627" s="6" t="n"/>
      <c r="V627" s="6" t="n"/>
      <c r="W627" s="6" t="n"/>
      <c r="X627" s="6" t="n"/>
      <c r="Y627" s="6" t="n"/>
      <c r="Z627" s="6" t="n"/>
      <c r="AA627" s="6" t="n"/>
      <c r="AB627" s="6" t="n"/>
    </row>
    <row r="628" ht="19.5" customHeight="1" s="92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6" t="n"/>
      <c r="P628" s="6" t="n"/>
      <c r="Q628" s="6" t="n"/>
      <c r="R628" s="6" t="n"/>
      <c r="S628" s="6" t="n"/>
      <c r="T628" s="6" t="n"/>
      <c r="U628" s="6" t="n"/>
      <c r="V628" s="6" t="n"/>
      <c r="W628" s="6" t="n"/>
      <c r="X628" s="6" t="n"/>
      <c r="Y628" s="6" t="n"/>
      <c r="Z628" s="6" t="n"/>
      <c r="AA628" s="6" t="n"/>
      <c r="AB628" s="6" t="n"/>
    </row>
    <row r="629" ht="19.5" customHeight="1" s="92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6" t="n"/>
      <c r="P629" s="6" t="n"/>
      <c r="Q629" s="6" t="n"/>
      <c r="R629" s="6" t="n"/>
      <c r="S629" s="6" t="n"/>
      <c r="T629" s="6" t="n"/>
      <c r="U629" s="6" t="n"/>
      <c r="V629" s="6" t="n"/>
      <c r="W629" s="6" t="n"/>
      <c r="X629" s="6" t="n"/>
      <c r="Y629" s="6" t="n"/>
      <c r="Z629" s="6" t="n"/>
      <c r="AA629" s="6" t="n"/>
      <c r="AB629" s="6" t="n"/>
    </row>
    <row r="630" ht="19.5" customHeight="1" s="92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6" t="n"/>
      <c r="P630" s="6" t="n"/>
      <c r="Q630" s="6" t="n"/>
      <c r="R630" s="6" t="n"/>
      <c r="S630" s="6" t="n"/>
      <c r="T630" s="6" t="n"/>
      <c r="U630" s="6" t="n"/>
      <c r="V630" s="6" t="n"/>
      <c r="W630" s="6" t="n"/>
      <c r="X630" s="6" t="n"/>
      <c r="Y630" s="6" t="n"/>
      <c r="Z630" s="6" t="n"/>
      <c r="AA630" s="6" t="n"/>
      <c r="AB630" s="6" t="n"/>
    </row>
    <row r="631" ht="19.5" customHeight="1" s="92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6" t="n"/>
      <c r="P631" s="6" t="n"/>
      <c r="Q631" s="6" t="n"/>
      <c r="R631" s="6" t="n"/>
      <c r="S631" s="6" t="n"/>
      <c r="T631" s="6" t="n"/>
      <c r="U631" s="6" t="n"/>
      <c r="V631" s="6" t="n"/>
      <c r="W631" s="6" t="n"/>
      <c r="X631" s="6" t="n"/>
      <c r="Y631" s="6" t="n"/>
      <c r="Z631" s="6" t="n"/>
      <c r="AA631" s="6" t="n"/>
      <c r="AB631" s="6" t="n"/>
    </row>
    <row r="632" ht="19.5" customHeight="1" s="92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6" t="n"/>
      <c r="P632" s="6" t="n"/>
      <c r="Q632" s="6" t="n"/>
      <c r="R632" s="6" t="n"/>
      <c r="S632" s="6" t="n"/>
      <c r="T632" s="6" t="n"/>
      <c r="U632" s="6" t="n"/>
      <c r="V632" s="6" t="n"/>
      <c r="W632" s="6" t="n"/>
      <c r="X632" s="6" t="n"/>
      <c r="Y632" s="6" t="n"/>
      <c r="Z632" s="6" t="n"/>
      <c r="AA632" s="6" t="n"/>
      <c r="AB632" s="6" t="n"/>
    </row>
    <row r="633" ht="19.5" customHeight="1" s="92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6" t="n"/>
      <c r="P633" s="6" t="n"/>
      <c r="Q633" s="6" t="n"/>
      <c r="R633" s="6" t="n"/>
      <c r="S633" s="6" t="n"/>
      <c r="T633" s="6" t="n"/>
      <c r="U633" s="6" t="n"/>
      <c r="V633" s="6" t="n"/>
      <c r="W633" s="6" t="n"/>
      <c r="X633" s="6" t="n"/>
      <c r="Y633" s="6" t="n"/>
      <c r="Z633" s="6" t="n"/>
      <c r="AA633" s="6" t="n"/>
      <c r="AB633" s="6" t="n"/>
    </row>
    <row r="634" ht="19.5" customHeight="1" s="92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6" t="n"/>
      <c r="P634" s="6" t="n"/>
      <c r="Q634" s="6" t="n"/>
      <c r="R634" s="6" t="n"/>
      <c r="S634" s="6" t="n"/>
      <c r="T634" s="6" t="n"/>
      <c r="U634" s="6" t="n"/>
      <c r="V634" s="6" t="n"/>
      <c r="W634" s="6" t="n"/>
      <c r="X634" s="6" t="n"/>
      <c r="Y634" s="6" t="n"/>
      <c r="Z634" s="6" t="n"/>
      <c r="AA634" s="6" t="n"/>
      <c r="AB634" s="6" t="n"/>
    </row>
    <row r="635" ht="19.5" customHeight="1" s="92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6" t="n"/>
      <c r="P635" s="6" t="n"/>
      <c r="Q635" s="6" t="n"/>
      <c r="R635" s="6" t="n"/>
      <c r="S635" s="6" t="n"/>
      <c r="T635" s="6" t="n"/>
      <c r="U635" s="6" t="n"/>
      <c r="V635" s="6" t="n"/>
      <c r="W635" s="6" t="n"/>
      <c r="X635" s="6" t="n"/>
      <c r="Y635" s="6" t="n"/>
      <c r="Z635" s="6" t="n"/>
      <c r="AA635" s="6" t="n"/>
      <c r="AB635" s="6" t="n"/>
    </row>
    <row r="636" ht="19.5" customHeight="1" s="92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6" t="n"/>
      <c r="P636" s="6" t="n"/>
      <c r="Q636" s="6" t="n"/>
      <c r="R636" s="6" t="n"/>
      <c r="S636" s="6" t="n"/>
      <c r="T636" s="6" t="n"/>
      <c r="U636" s="6" t="n"/>
      <c r="V636" s="6" t="n"/>
      <c r="W636" s="6" t="n"/>
      <c r="X636" s="6" t="n"/>
      <c r="Y636" s="6" t="n"/>
      <c r="Z636" s="6" t="n"/>
      <c r="AA636" s="6" t="n"/>
      <c r="AB636" s="6" t="n"/>
    </row>
    <row r="637" ht="19.5" customHeight="1" s="92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6" t="n"/>
      <c r="P637" s="6" t="n"/>
      <c r="Q637" s="6" t="n"/>
      <c r="R637" s="6" t="n"/>
      <c r="S637" s="6" t="n"/>
      <c r="T637" s="6" t="n"/>
      <c r="U637" s="6" t="n"/>
      <c r="V637" s="6" t="n"/>
      <c r="W637" s="6" t="n"/>
      <c r="X637" s="6" t="n"/>
      <c r="Y637" s="6" t="n"/>
      <c r="Z637" s="6" t="n"/>
      <c r="AA637" s="6" t="n"/>
      <c r="AB637" s="6" t="n"/>
    </row>
    <row r="638" ht="19.5" customHeight="1" s="92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6" t="n"/>
      <c r="P638" s="6" t="n"/>
      <c r="Q638" s="6" t="n"/>
      <c r="R638" s="6" t="n"/>
      <c r="S638" s="6" t="n"/>
      <c r="T638" s="6" t="n"/>
      <c r="U638" s="6" t="n"/>
      <c r="V638" s="6" t="n"/>
      <c r="W638" s="6" t="n"/>
      <c r="X638" s="6" t="n"/>
      <c r="Y638" s="6" t="n"/>
      <c r="Z638" s="6" t="n"/>
      <c r="AA638" s="6" t="n"/>
      <c r="AB638" s="6" t="n"/>
    </row>
    <row r="639" ht="19.5" customHeight="1" s="92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6" t="n"/>
      <c r="P639" s="6" t="n"/>
      <c r="Q639" s="6" t="n"/>
      <c r="R639" s="6" t="n"/>
      <c r="S639" s="6" t="n"/>
      <c r="T639" s="6" t="n"/>
      <c r="U639" s="6" t="n"/>
      <c r="V639" s="6" t="n"/>
      <c r="W639" s="6" t="n"/>
      <c r="X639" s="6" t="n"/>
      <c r="Y639" s="6" t="n"/>
      <c r="Z639" s="6" t="n"/>
      <c r="AA639" s="6" t="n"/>
      <c r="AB639" s="6" t="n"/>
    </row>
    <row r="640" ht="19.5" customHeight="1" s="92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6" t="n"/>
      <c r="P640" s="6" t="n"/>
      <c r="Q640" s="6" t="n"/>
      <c r="R640" s="6" t="n"/>
      <c r="S640" s="6" t="n"/>
      <c r="T640" s="6" t="n"/>
      <c r="U640" s="6" t="n"/>
      <c r="V640" s="6" t="n"/>
      <c r="W640" s="6" t="n"/>
      <c r="X640" s="6" t="n"/>
      <c r="Y640" s="6" t="n"/>
      <c r="Z640" s="6" t="n"/>
      <c r="AA640" s="6" t="n"/>
      <c r="AB640" s="6" t="n"/>
    </row>
    <row r="641" ht="19.5" customHeight="1" s="92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6" t="n"/>
      <c r="P641" s="6" t="n"/>
      <c r="Q641" s="6" t="n"/>
      <c r="R641" s="6" t="n"/>
      <c r="S641" s="6" t="n"/>
      <c r="T641" s="6" t="n"/>
      <c r="U641" s="6" t="n"/>
      <c r="V641" s="6" t="n"/>
      <c r="W641" s="6" t="n"/>
      <c r="X641" s="6" t="n"/>
      <c r="Y641" s="6" t="n"/>
      <c r="Z641" s="6" t="n"/>
      <c r="AA641" s="6" t="n"/>
      <c r="AB641" s="6" t="n"/>
    </row>
    <row r="642" ht="19.5" customHeight="1" s="92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6" t="n"/>
      <c r="P642" s="6" t="n"/>
      <c r="Q642" s="6" t="n"/>
      <c r="R642" s="6" t="n"/>
      <c r="S642" s="6" t="n"/>
      <c r="T642" s="6" t="n"/>
      <c r="U642" s="6" t="n"/>
      <c r="V642" s="6" t="n"/>
      <c r="W642" s="6" t="n"/>
      <c r="X642" s="6" t="n"/>
      <c r="Y642" s="6" t="n"/>
      <c r="Z642" s="6" t="n"/>
      <c r="AA642" s="6" t="n"/>
      <c r="AB642" s="6" t="n"/>
    </row>
    <row r="643" ht="19.5" customHeight="1" s="92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6" t="n"/>
      <c r="P643" s="6" t="n"/>
      <c r="Q643" s="6" t="n"/>
      <c r="R643" s="6" t="n"/>
      <c r="S643" s="6" t="n"/>
      <c r="T643" s="6" t="n"/>
      <c r="U643" s="6" t="n"/>
      <c r="V643" s="6" t="n"/>
      <c r="W643" s="6" t="n"/>
      <c r="X643" s="6" t="n"/>
      <c r="Y643" s="6" t="n"/>
      <c r="Z643" s="6" t="n"/>
      <c r="AA643" s="6" t="n"/>
      <c r="AB643" s="6" t="n"/>
    </row>
    <row r="644" ht="19.5" customHeight="1" s="92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6" t="n"/>
      <c r="P644" s="6" t="n"/>
      <c r="Q644" s="6" t="n"/>
      <c r="R644" s="6" t="n"/>
      <c r="S644" s="6" t="n"/>
      <c r="T644" s="6" t="n"/>
      <c r="U644" s="6" t="n"/>
      <c r="V644" s="6" t="n"/>
      <c r="W644" s="6" t="n"/>
      <c r="X644" s="6" t="n"/>
      <c r="Y644" s="6" t="n"/>
      <c r="Z644" s="6" t="n"/>
      <c r="AA644" s="6" t="n"/>
      <c r="AB644" s="6" t="n"/>
    </row>
    <row r="645" ht="19.5" customHeight="1" s="92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6" t="n"/>
      <c r="P645" s="6" t="n"/>
      <c r="Q645" s="6" t="n"/>
      <c r="R645" s="6" t="n"/>
      <c r="S645" s="6" t="n"/>
      <c r="T645" s="6" t="n"/>
      <c r="U645" s="6" t="n"/>
      <c r="V645" s="6" t="n"/>
      <c r="W645" s="6" t="n"/>
      <c r="X645" s="6" t="n"/>
      <c r="Y645" s="6" t="n"/>
      <c r="Z645" s="6" t="n"/>
      <c r="AA645" s="6" t="n"/>
      <c r="AB645" s="6" t="n"/>
    </row>
    <row r="646" ht="19.5" customHeight="1" s="92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6" t="n"/>
      <c r="P646" s="6" t="n"/>
      <c r="Q646" s="6" t="n"/>
      <c r="R646" s="6" t="n"/>
      <c r="S646" s="6" t="n"/>
      <c r="T646" s="6" t="n"/>
      <c r="U646" s="6" t="n"/>
      <c r="V646" s="6" t="n"/>
      <c r="W646" s="6" t="n"/>
      <c r="X646" s="6" t="n"/>
      <c r="Y646" s="6" t="n"/>
      <c r="Z646" s="6" t="n"/>
      <c r="AA646" s="6" t="n"/>
      <c r="AB646" s="6" t="n"/>
    </row>
    <row r="647" ht="19.5" customHeight="1" s="92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6" t="n"/>
      <c r="P647" s="6" t="n"/>
      <c r="Q647" s="6" t="n"/>
      <c r="R647" s="6" t="n"/>
      <c r="S647" s="6" t="n"/>
      <c r="T647" s="6" t="n"/>
      <c r="U647" s="6" t="n"/>
      <c r="V647" s="6" t="n"/>
      <c r="W647" s="6" t="n"/>
      <c r="X647" s="6" t="n"/>
      <c r="Y647" s="6" t="n"/>
      <c r="Z647" s="6" t="n"/>
      <c r="AA647" s="6" t="n"/>
      <c r="AB647" s="6" t="n"/>
    </row>
    <row r="648" ht="19.5" customHeight="1" s="92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6" t="n"/>
      <c r="P648" s="6" t="n"/>
      <c r="Q648" s="6" t="n"/>
      <c r="R648" s="6" t="n"/>
      <c r="S648" s="6" t="n"/>
      <c r="T648" s="6" t="n"/>
      <c r="U648" s="6" t="n"/>
      <c r="V648" s="6" t="n"/>
      <c r="W648" s="6" t="n"/>
      <c r="X648" s="6" t="n"/>
      <c r="Y648" s="6" t="n"/>
      <c r="Z648" s="6" t="n"/>
      <c r="AA648" s="6" t="n"/>
      <c r="AB648" s="6" t="n"/>
    </row>
    <row r="649" ht="19.5" customHeight="1" s="92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6" t="n"/>
      <c r="P649" s="6" t="n"/>
      <c r="Q649" s="6" t="n"/>
      <c r="R649" s="6" t="n"/>
      <c r="S649" s="6" t="n"/>
      <c r="T649" s="6" t="n"/>
      <c r="U649" s="6" t="n"/>
      <c r="V649" s="6" t="n"/>
      <c r="W649" s="6" t="n"/>
      <c r="X649" s="6" t="n"/>
      <c r="Y649" s="6" t="n"/>
      <c r="Z649" s="6" t="n"/>
      <c r="AA649" s="6" t="n"/>
      <c r="AB649" s="6" t="n"/>
    </row>
    <row r="650" ht="19.5" customHeight="1" s="92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6" t="n"/>
      <c r="P650" s="6" t="n"/>
      <c r="Q650" s="6" t="n"/>
      <c r="R650" s="6" t="n"/>
      <c r="S650" s="6" t="n"/>
      <c r="T650" s="6" t="n"/>
      <c r="U650" s="6" t="n"/>
      <c r="V650" s="6" t="n"/>
      <c r="W650" s="6" t="n"/>
      <c r="X650" s="6" t="n"/>
      <c r="Y650" s="6" t="n"/>
      <c r="Z650" s="6" t="n"/>
      <c r="AA650" s="6" t="n"/>
      <c r="AB650" s="6" t="n"/>
    </row>
    <row r="651" ht="19.5" customHeight="1" s="92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6" t="n"/>
      <c r="P651" s="6" t="n"/>
      <c r="Q651" s="6" t="n"/>
      <c r="R651" s="6" t="n"/>
      <c r="S651" s="6" t="n"/>
      <c r="T651" s="6" t="n"/>
      <c r="U651" s="6" t="n"/>
      <c r="V651" s="6" t="n"/>
      <c r="W651" s="6" t="n"/>
      <c r="X651" s="6" t="n"/>
      <c r="Y651" s="6" t="n"/>
      <c r="Z651" s="6" t="n"/>
      <c r="AA651" s="6" t="n"/>
      <c r="AB651" s="6" t="n"/>
    </row>
    <row r="652" ht="19.5" customHeight="1" s="92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6" t="n"/>
      <c r="P652" s="6" t="n"/>
      <c r="Q652" s="6" t="n"/>
      <c r="R652" s="6" t="n"/>
      <c r="S652" s="6" t="n"/>
      <c r="T652" s="6" t="n"/>
      <c r="U652" s="6" t="n"/>
      <c r="V652" s="6" t="n"/>
      <c r="W652" s="6" t="n"/>
      <c r="X652" s="6" t="n"/>
      <c r="Y652" s="6" t="n"/>
      <c r="Z652" s="6" t="n"/>
      <c r="AA652" s="6" t="n"/>
      <c r="AB652" s="6" t="n"/>
    </row>
    <row r="653" ht="19.5" customHeight="1" s="92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6" t="n"/>
      <c r="P653" s="6" t="n"/>
      <c r="Q653" s="6" t="n"/>
      <c r="R653" s="6" t="n"/>
      <c r="S653" s="6" t="n"/>
      <c r="T653" s="6" t="n"/>
      <c r="U653" s="6" t="n"/>
      <c r="V653" s="6" t="n"/>
      <c r="W653" s="6" t="n"/>
      <c r="X653" s="6" t="n"/>
      <c r="Y653" s="6" t="n"/>
      <c r="Z653" s="6" t="n"/>
      <c r="AA653" s="6" t="n"/>
      <c r="AB653" s="6" t="n"/>
    </row>
    <row r="654" ht="19.5" customHeight="1" s="92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6" t="n"/>
      <c r="P654" s="6" t="n"/>
      <c r="Q654" s="6" t="n"/>
      <c r="R654" s="6" t="n"/>
      <c r="S654" s="6" t="n"/>
      <c r="T654" s="6" t="n"/>
      <c r="U654" s="6" t="n"/>
      <c r="V654" s="6" t="n"/>
      <c r="W654" s="6" t="n"/>
      <c r="X654" s="6" t="n"/>
      <c r="Y654" s="6" t="n"/>
      <c r="Z654" s="6" t="n"/>
      <c r="AA654" s="6" t="n"/>
      <c r="AB654" s="6" t="n"/>
    </row>
    <row r="655" ht="19.5" customHeight="1" s="92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6" t="n"/>
      <c r="P655" s="6" t="n"/>
      <c r="Q655" s="6" t="n"/>
      <c r="R655" s="6" t="n"/>
      <c r="S655" s="6" t="n"/>
      <c r="T655" s="6" t="n"/>
      <c r="U655" s="6" t="n"/>
      <c r="V655" s="6" t="n"/>
      <c r="W655" s="6" t="n"/>
      <c r="X655" s="6" t="n"/>
      <c r="Y655" s="6" t="n"/>
      <c r="Z655" s="6" t="n"/>
      <c r="AA655" s="6" t="n"/>
      <c r="AB655" s="6" t="n"/>
    </row>
    <row r="656" ht="19.5" customHeight="1" s="92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6" t="n"/>
      <c r="P656" s="6" t="n"/>
      <c r="Q656" s="6" t="n"/>
      <c r="R656" s="6" t="n"/>
      <c r="S656" s="6" t="n"/>
      <c r="T656" s="6" t="n"/>
      <c r="U656" s="6" t="n"/>
      <c r="V656" s="6" t="n"/>
      <c r="W656" s="6" t="n"/>
      <c r="X656" s="6" t="n"/>
      <c r="Y656" s="6" t="n"/>
      <c r="Z656" s="6" t="n"/>
      <c r="AA656" s="6" t="n"/>
      <c r="AB656" s="6" t="n"/>
    </row>
    <row r="657" ht="19.5" customHeight="1" s="92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6" t="n"/>
      <c r="P657" s="6" t="n"/>
      <c r="Q657" s="6" t="n"/>
      <c r="R657" s="6" t="n"/>
      <c r="S657" s="6" t="n"/>
      <c r="T657" s="6" t="n"/>
      <c r="U657" s="6" t="n"/>
      <c r="V657" s="6" t="n"/>
      <c r="W657" s="6" t="n"/>
      <c r="X657" s="6" t="n"/>
      <c r="Y657" s="6" t="n"/>
      <c r="Z657" s="6" t="n"/>
      <c r="AA657" s="6" t="n"/>
      <c r="AB657" s="6" t="n"/>
    </row>
    <row r="658" ht="19.5" customHeight="1" s="92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6" t="n"/>
      <c r="P658" s="6" t="n"/>
      <c r="Q658" s="6" t="n"/>
      <c r="R658" s="6" t="n"/>
      <c r="S658" s="6" t="n"/>
      <c r="T658" s="6" t="n"/>
      <c r="U658" s="6" t="n"/>
      <c r="V658" s="6" t="n"/>
      <c r="W658" s="6" t="n"/>
      <c r="X658" s="6" t="n"/>
      <c r="Y658" s="6" t="n"/>
      <c r="Z658" s="6" t="n"/>
      <c r="AA658" s="6" t="n"/>
      <c r="AB658" s="6" t="n"/>
    </row>
    <row r="659" ht="19.5" customHeight="1" s="92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6" t="n"/>
      <c r="P659" s="6" t="n"/>
      <c r="Q659" s="6" t="n"/>
      <c r="R659" s="6" t="n"/>
      <c r="S659" s="6" t="n"/>
      <c r="T659" s="6" t="n"/>
      <c r="U659" s="6" t="n"/>
      <c r="V659" s="6" t="n"/>
      <c r="W659" s="6" t="n"/>
      <c r="X659" s="6" t="n"/>
      <c r="Y659" s="6" t="n"/>
      <c r="Z659" s="6" t="n"/>
      <c r="AA659" s="6" t="n"/>
      <c r="AB659" s="6" t="n"/>
    </row>
    <row r="660" ht="19.5" customHeight="1" s="92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6" t="n"/>
      <c r="P660" s="6" t="n"/>
      <c r="Q660" s="6" t="n"/>
      <c r="R660" s="6" t="n"/>
      <c r="S660" s="6" t="n"/>
      <c r="T660" s="6" t="n"/>
      <c r="U660" s="6" t="n"/>
      <c r="V660" s="6" t="n"/>
      <c r="W660" s="6" t="n"/>
      <c r="X660" s="6" t="n"/>
      <c r="Y660" s="6" t="n"/>
      <c r="Z660" s="6" t="n"/>
      <c r="AA660" s="6" t="n"/>
      <c r="AB660" s="6" t="n"/>
    </row>
    <row r="661" ht="19.5" customHeight="1" s="92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6" t="n"/>
      <c r="P661" s="6" t="n"/>
      <c r="Q661" s="6" t="n"/>
      <c r="R661" s="6" t="n"/>
      <c r="S661" s="6" t="n"/>
      <c r="T661" s="6" t="n"/>
      <c r="U661" s="6" t="n"/>
      <c r="V661" s="6" t="n"/>
      <c r="W661" s="6" t="n"/>
      <c r="X661" s="6" t="n"/>
      <c r="Y661" s="6" t="n"/>
      <c r="Z661" s="6" t="n"/>
      <c r="AA661" s="6" t="n"/>
      <c r="AB661" s="6" t="n"/>
    </row>
    <row r="662" ht="19.5" customHeight="1" s="92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6" t="n"/>
      <c r="P662" s="6" t="n"/>
      <c r="Q662" s="6" t="n"/>
      <c r="R662" s="6" t="n"/>
      <c r="S662" s="6" t="n"/>
      <c r="T662" s="6" t="n"/>
      <c r="U662" s="6" t="n"/>
      <c r="V662" s="6" t="n"/>
      <c r="W662" s="6" t="n"/>
      <c r="X662" s="6" t="n"/>
      <c r="Y662" s="6" t="n"/>
      <c r="Z662" s="6" t="n"/>
      <c r="AA662" s="6" t="n"/>
      <c r="AB662" s="6" t="n"/>
    </row>
    <row r="663" ht="19.5" customHeight="1" s="92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6" t="n"/>
      <c r="P663" s="6" t="n"/>
      <c r="Q663" s="6" t="n"/>
      <c r="R663" s="6" t="n"/>
      <c r="S663" s="6" t="n"/>
      <c r="T663" s="6" t="n"/>
      <c r="U663" s="6" t="n"/>
      <c r="V663" s="6" t="n"/>
      <c r="W663" s="6" t="n"/>
      <c r="X663" s="6" t="n"/>
      <c r="Y663" s="6" t="n"/>
      <c r="Z663" s="6" t="n"/>
      <c r="AA663" s="6" t="n"/>
      <c r="AB663" s="6" t="n"/>
    </row>
    <row r="664" ht="19.5" customHeight="1" s="92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6" t="n"/>
      <c r="P664" s="6" t="n"/>
      <c r="Q664" s="6" t="n"/>
      <c r="R664" s="6" t="n"/>
      <c r="S664" s="6" t="n"/>
      <c r="T664" s="6" t="n"/>
      <c r="U664" s="6" t="n"/>
      <c r="V664" s="6" t="n"/>
      <c r="W664" s="6" t="n"/>
      <c r="X664" s="6" t="n"/>
      <c r="Y664" s="6" t="n"/>
      <c r="Z664" s="6" t="n"/>
      <c r="AA664" s="6" t="n"/>
      <c r="AB664" s="6" t="n"/>
    </row>
    <row r="665" ht="19.5" customHeight="1" s="92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6" t="n"/>
      <c r="P665" s="6" t="n"/>
      <c r="Q665" s="6" t="n"/>
      <c r="R665" s="6" t="n"/>
      <c r="S665" s="6" t="n"/>
      <c r="T665" s="6" t="n"/>
      <c r="U665" s="6" t="n"/>
      <c r="V665" s="6" t="n"/>
      <c r="W665" s="6" t="n"/>
      <c r="X665" s="6" t="n"/>
      <c r="Y665" s="6" t="n"/>
      <c r="Z665" s="6" t="n"/>
      <c r="AA665" s="6" t="n"/>
      <c r="AB665" s="6" t="n"/>
    </row>
    <row r="666" ht="19.5" customHeight="1" s="92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6" t="n"/>
      <c r="P666" s="6" t="n"/>
      <c r="Q666" s="6" t="n"/>
      <c r="R666" s="6" t="n"/>
      <c r="S666" s="6" t="n"/>
      <c r="T666" s="6" t="n"/>
      <c r="U666" s="6" t="n"/>
      <c r="V666" s="6" t="n"/>
      <c r="W666" s="6" t="n"/>
      <c r="X666" s="6" t="n"/>
      <c r="Y666" s="6" t="n"/>
      <c r="Z666" s="6" t="n"/>
      <c r="AA666" s="6" t="n"/>
      <c r="AB666" s="6" t="n"/>
    </row>
    <row r="667" ht="19.5" customHeight="1" s="92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6" t="n"/>
      <c r="P667" s="6" t="n"/>
      <c r="Q667" s="6" t="n"/>
      <c r="R667" s="6" t="n"/>
      <c r="S667" s="6" t="n"/>
      <c r="T667" s="6" t="n"/>
      <c r="U667" s="6" t="n"/>
      <c r="V667" s="6" t="n"/>
      <c r="W667" s="6" t="n"/>
      <c r="X667" s="6" t="n"/>
      <c r="Y667" s="6" t="n"/>
      <c r="Z667" s="6" t="n"/>
      <c r="AA667" s="6" t="n"/>
      <c r="AB667" s="6" t="n"/>
    </row>
    <row r="668" ht="19.5" customHeight="1" s="92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6" t="n"/>
      <c r="P668" s="6" t="n"/>
      <c r="Q668" s="6" t="n"/>
      <c r="R668" s="6" t="n"/>
      <c r="S668" s="6" t="n"/>
      <c r="T668" s="6" t="n"/>
      <c r="U668" s="6" t="n"/>
      <c r="V668" s="6" t="n"/>
      <c r="W668" s="6" t="n"/>
      <c r="X668" s="6" t="n"/>
      <c r="Y668" s="6" t="n"/>
      <c r="Z668" s="6" t="n"/>
      <c r="AA668" s="6" t="n"/>
      <c r="AB668" s="6" t="n"/>
    </row>
    <row r="669" ht="19.5" customHeight="1" s="92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6" t="n"/>
      <c r="P669" s="6" t="n"/>
      <c r="Q669" s="6" t="n"/>
      <c r="R669" s="6" t="n"/>
      <c r="S669" s="6" t="n"/>
      <c r="T669" s="6" t="n"/>
      <c r="U669" s="6" t="n"/>
      <c r="V669" s="6" t="n"/>
      <c r="W669" s="6" t="n"/>
      <c r="X669" s="6" t="n"/>
      <c r="Y669" s="6" t="n"/>
      <c r="Z669" s="6" t="n"/>
      <c r="AA669" s="6" t="n"/>
      <c r="AB669" s="6" t="n"/>
    </row>
    <row r="670" ht="19.5" customHeight="1" s="92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6" t="n"/>
      <c r="P670" s="6" t="n"/>
      <c r="Q670" s="6" t="n"/>
      <c r="R670" s="6" t="n"/>
      <c r="S670" s="6" t="n"/>
      <c r="T670" s="6" t="n"/>
      <c r="U670" s="6" t="n"/>
      <c r="V670" s="6" t="n"/>
      <c r="W670" s="6" t="n"/>
      <c r="X670" s="6" t="n"/>
      <c r="Y670" s="6" t="n"/>
      <c r="Z670" s="6" t="n"/>
      <c r="AA670" s="6" t="n"/>
      <c r="AB670" s="6" t="n"/>
    </row>
    <row r="671" ht="19.5" customHeight="1" s="92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6" t="n"/>
      <c r="P671" s="6" t="n"/>
      <c r="Q671" s="6" t="n"/>
      <c r="R671" s="6" t="n"/>
      <c r="S671" s="6" t="n"/>
      <c r="T671" s="6" t="n"/>
      <c r="U671" s="6" t="n"/>
      <c r="V671" s="6" t="n"/>
      <c r="W671" s="6" t="n"/>
      <c r="X671" s="6" t="n"/>
      <c r="Y671" s="6" t="n"/>
      <c r="Z671" s="6" t="n"/>
      <c r="AA671" s="6" t="n"/>
      <c r="AB671" s="6" t="n"/>
    </row>
    <row r="672" ht="19.5" customHeight="1" s="92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6" t="n"/>
      <c r="P672" s="6" t="n"/>
      <c r="Q672" s="6" t="n"/>
      <c r="R672" s="6" t="n"/>
      <c r="S672" s="6" t="n"/>
      <c r="T672" s="6" t="n"/>
      <c r="U672" s="6" t="n"/>
      <c r="V672" s="6" t="n"/>
      <c r="W672" s="6" t="n"/>
      <c r="X672" s="6" t="n"/>
      <c r="Y672" s="6" t="n"/>
      <c r="Z672" s="6" t="n"/>
      <c r="AA672" s="6" t="n"/>
      <c r="AB672" s="6" t="n"/>
    </row>
    <row r="673" ht="19.5" customHeight="1" s="92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6" t="n"/>
      <c r="P673" s="6" t="n"/>
      <c r="Q673" s="6" t="n"/>
      <c r="R673" s="6" t="n"/>
      <c r="S673" s="6" t="n"/>
      <c r="T673" s="6" t="n"/>
      <c r="U673" s="6" t="n"/>
      <c r="V673" s="6" t="n"/>
      <c r="W673" s="6" t="n"/>
      <c r="X673" s="6" t="n"/>
      <c r="Y673" s="6" t="n"/>
      <c r="Z673" s="6" t="n"/>
      <c r="AA673" s="6" t="n"/>
      <c r="AB673" s="6" t="n"/>
    </row>
    <row r="674" ht="19.5" customHeight="1" s="92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6" t="n"/>
      <c r="P674" s="6" t="n"/>
      <c r="Q674" s="6" t="n"/>
      <c r="R674" s="6" t="n"/>
      <c r="S674" s="6" t="n"/>
      <c r="T674" s="6" t="n"/>
      <c r="U674" s="6" t="n"/>
      <c r="V674" s="6" t="n"/>
      <c r="W674" s="6" t="n"/>
      <c r="X674" s="6" t="n"/>
      <c r="Y674" s="6" t="n"/>
      <c r="Z674" s="6" t="n"/>
      <c r="AA674" s="6" t="n"/>
      <c r="AB674" s="6" t="n"/>
    </row>
    <row r="675" ht="19.5" customHeight="1" s="92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6" t="n"/>
      <c r="P675" s="6" t="n"/>
      <c r="Q675" s="6" t="n"/>
      <c r="R675" s="6" t="n"/>
      <c r="S675" s="6" t="n"/>
      <c r="T675" s="6" t="n"/>
      <c r="U675" s="6" t="n"/>
      <c r="V675" s="6" t="n"/>
      <c r="W675" s="6" t="n"/>
      <c r="X675" s="6" t="n"/>
      <c r="Y675" s="6" t="n"/>
      <c r="Z675" s="6" t="n"/>
      <c r="AA675" s="6" t="n"/>
      <c r="AB675" s="6" t="n"/>
    </row>
    <row r="676" ht="19.5" customHeight="1" s="92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6" t="n"/>
      <c r="P676" s="6" t="n"/>
      <c r="Q676" s="6" t="n"/>
      <c r="R676" s="6" t="n"/>
      <c r="S676" s="6" t="n"/>
      <c r="T676" s="6" t="n"/>
      <c r="U676" s="6" t="n"/>
      <c r="V676" s="6" t="n"/>
      <c r="W676" s="6" t="n"/>
      <c r="X676" s="6" t="n"/>
      <c r="Y676" s="6" t="n"/>
      <c r="Z676" s="6" t="n"/>
      <c r="AA676" s="6" t="n"/>
      <c r="AB676" s="6" t="n"/>
    </row>
    <row r="677" ht="19.5" customHeight="1" s="92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6" t="n"/>
      <c r="P677" s="6" t="n"/>
      <c r="Q677" s="6" t="n"/>
      <c r="R677" s="6" t="n"/>
      <c r="S677" s="6" t="n"/>
      <c r="T677" s="6" t="n"/>
      <c r="U677" s="6" t="n"/>
      <c r="V677" s="6" t="n"/>
      <c r="W677" s="6" t="n"/>
      <c r="X677" s="6" t="n"/>
      <c r="Y677" s="6" t="n"/>
      <c r="Z677" s="6" t="n"/>
      <c r="AA677" s="6" t="n"/>
      <c r="AB677" s="6" t="n"/>
    </row>
    <row r="678" ht="19.5" customHeight="1" s="92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6" t="n"/>
      <c r="P678" s="6" t="n"/>
      <c r="Q678" s="6" t="n"/>
      <c r="R678" s="6" t="n"/>
      <c r="S678" s="6" t="n"/>
      <c r="T678" s="6" t="n"/>
      <c r="U678" s="6" t="n"/>
      <c r="V678" s="6" t="n"/>
      <c r="W678" s="6" t="n"/>
      <c r="X678" s="6" t="n"/>
      <c r="Y678" s="6" t="n"/>
      <c r="Z678" s="6" t="n"/>
      <c r="AA678" s="6" t="n"/>
      <c r="AB678" s="6" t="n"/>
    </row>
    <row r="679" ht="19.5" customHeight="1" s="92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6" t="n"/>
      <c r="P679" s="6" t="n"/>
      <c r="Q679" s="6" t="n"/>
      <c r="R679" s="6" t="n"/>
      <c r="S679" s="6" t="n"/>
      <c r="T679" s="6" t="n"/>
      <c r="U679" s="6" t="n"/>
      <c r="V679" s="6" t="n"/>
      <c r="W679" s="6" t="n"/>
      <c r="X679" s="6" t="n"/>
      <c r="Y679" s="6" t="n"/>
      <c r="Z679" s="6" t="n"/>
      <c r="AA679" s="6" t="n"/>
      <c r="AB679" s="6" t="n"/>
    </row>
    <row r="680" ht="19.5" customHeight="1" s="92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6" t="n"/>
      <c r="P680" s="6" t="n"/>
      <c r="Q680" s="6" t="n"/>
      <c r="R680" s="6" t="n"/>
      <c r="S680" s="6" t="n"/>
      <c r="T680" s="6" t="n"/>
      <c r="U680" s="6" t="n"/>
      <c r="V680" s="6" t="n"/>
      <c r="W680" s="6" t="n"/>
      <c r="X680" s="6" t="n"/>
      <c r="Y680" s="6" t="n"/>
      <c r="Z680" s="6" t="n"/>
      <c r="AA680" s="6" t="n"/>
      <c r="AB680" s="6" t="n"/>
    </row>
    <row r="681" ht="19.5" customHeight="1" s="92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6" t="n"/>
      <c r="P681" s="6" t="n"/>
      <c r="Q681" s="6" t="n"/>
      <c r="R681" s="6" t="n"/>
      <c r="S681" s="6" t="n"/>
      <c r="T681" s="6" t="n"/>
      <c r="U681" s="6" t="n"/>
      <c r="V681" s="6" t="n"/>
      <c r="W681" s="6" t="n"/>
      <c r="X681" s="6" t="n"/>
      <c r="Y681" s="6" t="n"/>
      <c r="Z681" s="6" t="n"/>
      <c r="AA681" s="6" t="n"/>
      <c r="AB681" s="6" t="n"/>
    </row>
    <row r="682" ht="19.5" customHeight="1" s="92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6" t="n"/>
      <c r="P682" s="6" t="n"/>
      <c r="Q682" s="6" t="n"/>
      <c r="R682" s="6" t="n"/>
      <c r="S682" s="6" t="n"/>
      <c r="T682" s="6" t="n"/>
      <c r="U682" s="6" t="n"/>
      <c r="V682" s="6" t="n"/>
      <c r="W682" s="6" t="n"/>
      <c r="X682" s="6" t="n"/>
      <c r="Y682" s="6" t="n"/>
      <c r="Z682" s="6" t="n"/>
      <c r="AA682" s="6" t="n"/>
      <c r="AB682" s="6" t="n"/>
    </row>
    <row r="683" ht="19.5" customHeight="1" s="92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6" t="n"/>
      <c r="P683" s="6" t="n"/>
      <c r="Q683" s="6" t="n"/>
      <c r="R683" s="6" t="n"/>
      <c r="S683" s="6" t="n"/>
      <c r="T683" s="6" t="n"/>
      <c r="U683" s="6" t="n"/>
      <c r="V683" s="6" t="n"/>
      <c r="W683" s="6" t="n"/>
      <c r="X683" s="6" t="n"/>
      <c r="Y683" s="6" t="n"/>
      <c r="Z683" s="6" t="n"/>
      <c r="AA683" s="6" t="n"/>
      <c r="AB683" s="6" t="n"/>
    </row>
    <row r="684" ht="19.5" customHeight="1" s="92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6" t="n"/>
      <c r="P684" s="6" t="n"/>
      <c r="Q684" s="6" t="n"/>
      <c r="R684" s="6" t="n"/>
      <c r="S684" s="6" t="n"/>
      <c r="T684" s="6" t="n"/>
      <c r="U684" s="6" t="n"/>
      <c r="V684" s="6" t="n"/>
      <c r="W684" s="6" t="n"/>
      <c r="X684" s="6" t="n"/>
      <c r="Y684" s="6" t="n"/>
      <c r="Z684" s="6" t="n"/>
      <c r="AA684" s="6" t="n"/>
      <c r="AB684" s="6" t="n"/>
    </row>
    <row r="685" ht="19.5" customHeight="1" s="92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6" t="n"/>
      <c r="P685" s="6" t="n"/>
      <c r="Q685" s="6" t="n"/>
      <c r="R685" s="6" t="n"/>
      <c r="S685" s="6" t="n"/>
      <c r="T685" s="6" t="n"/>
      <c r="U685" s="6" t="n"/>
      <c r="V685" s="6" t="n"/>
      <c r="W685" s="6" t="n"/>
      <c r="X685" s="6" t="n"/>
      <c r="Y685" s="6" t="n"/>
      <c r="Z685" s="6" t="n"/>
      <c r="AA685" s="6" t="n"/>
      <c r="AB685" s="6" t="n"/>
    </row>
    <row r="686" ht="19.5" customHeight="1" s="92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6" t="n"/>
      <c r="P686" s="6" t="n"/>
      <c r="Q686" s="6" t="n"/>
      <c r="R686" s="6" t="n"/>
      <c r="S686" s="6" t="n"/>
      <c r="T686" s="6" t="n"/>
      <c r="U686" s="6" t="n"/>
      <c r="V686" s="6" t="n"/>
      <c r="W686" s="6" t="n"/>
      <c r="X686" s="6" t="n"/>
      <c r="Y686" s="6" t="n"/>
      <c r="Z686" s="6" t="n"/>
      <c r="AA686" s="6" t="n"/>
      <c r="AB686" s="6" t="n"/>
    </row>
    <row r="687" ht="19.5" customHeight="1" s="92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6" t="n"/>
      <c r="P687" s="6" t="n"/>
      <c r="Q687" s="6" t="n"/>
      <c r="R687" s="6" t="n"/>
      <c r="S687" s="6" t="n"/>
      <c r="T687" s="6" t="n"/>
      <c r="U687" s="6" t="n"/>
      <c r="V687" s="6" t="n"/>
      <c r="W687" s="6" t="n"/>
      <c r="X687" s="6" t="n"/>
      <c r="Y687" s="6" t="n"/>
      <c r="Z687" s="6" t="n"/>
      <c r="AA687" s="6" t="n"/>
      <c r="AB687" s="6" t="n"/>
    </row>
    <row r="688" ht="19.5" customHeight="1" s="92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6" t="n"/>
      <c r="P688" s="6" t="n"/>
      <c r="Q688" s="6" t="n"/>
      <c r="R688" s="6" t="n"/>
      <c r="S688" s="6" t="n"/>
      <c r="T688" s="6" t="n"/>
      <c r="U688" s="6" t="n"/>
      <c r="V688" s="6" t="n"/>
      <c r="W688" s="6" t="n"/>
      <c r="X688" s="6" t="n"/>
      <c r="Y688" s="6" t="n"/>
      <c r="Z688" s="6" t="n"/>
      <c r="AA688" s="6" t="n"/>
      <c r="AB688" s="6" t="n"/>
    </row>
    <row r="689" ht="19.5" customHeight="1" s="92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6" t="n"/>
      <c r="P689" s="6" t="n"/>
      <c r="Q689" s="6" t="n"/>
      <c r="R689" s="6" t="n"/>
      <c r="S689" s="6" t="n"/>
      <c r="T689" s="6" t="n"/>
      <c r="U689" s="6" t="n"/>
      <c r="V689" s="6" t="n"/>
      <c r="W689" s="6" t="n"/>
      <c r="X689" s="6" t="n"/>
      <c r="Y689" s="6" t="n"/>
      <c r="Z689" s="6" t="n"/>
      <c r="AA689" s="6" t="n"/>
      <c r="AB689" s="6" t="n"/>
    </row>
    <row r="690" ht="19.5" customHeight="1" s="92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6" t="n"/>
      <c r="P690" s="6" t="n"/>
      <c r="Q690" s="6" t="n"/>
      <c r="R690" s="6" t="n"/>
      <c r="S690" s="6" t="n"/>
      <c r="T690" s="6" t="n"/>
      <c r="U690" s="6" t="n"/>
      <c r="V690" s="6" t="n"/>
      <c r="W690" s="6" t="n"/>
      <c r="X690" s="6" t="n"/>
      <c r="Y690" s="6" t="n"/>
      <c r="Z690" s="6" t="n"/>
      <c r="AA690" s="6" t="n"/>
      <c r="AB690" s="6" t="n"/>
    </row>
    <row r="691" ht="19.5" customHeight="1" s="92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6" t="n"/>
      <c r="P691" s="6" t="n"/>
      <c r="Q691" s="6" t="n"/>
      <c r="R691" s="6" t="n"/>
      <c r="S691" s="6" t="n"/>
      <c r="T691" s="6" t="n"/>
      <c r="U691" s="6" t="n"/>
      <c r="V691" s="6" t="n"/>
      <c r="W691" s="6" t="n"/>
      <c r="X691" s="6" t="n"/>
      <c r="Y691" s="6" t="n"/>
      <c r="Z691" s="6" t="n"/>
      <c r="AA691" s="6" t="n"/>
      <c r="AB691" s="6" t="n"/>
    </row>
    <row r="692" ht="19.5" customHeight="1" s="92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6" t="n"/>
      <c r="P692" s="6" t="n"/>
      <c r="Q692" s="6" t="n"/>
      <c r="R692" s="6" t="n"/>
      <c r="S692" s="6" t="n"/>
      <c r="T692" s="6" t="n"/>
      <c r="U692" s="6" t="n"/>
      <c r="V692" s="6" t="n"/>
      <c r="W692" s="6" t="n"/>
      <c r="X692" s="6" t="n"/>
      <c r="Y692" s="6" t="n"/>
      <c r="Z692" s="6" t="n"/>
      <c r="AA692" s="6" t="n"/>
      <c r="AB692" s="6" t="n"/>
    </row>
    <row r="693" ht="19.5" customHeight="1" s="92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6" t="n"/>
      <c r="P693" s="6" t="n"/>
      <c r="Q693" s="6" t="n"/>
      <c r="R693" s="6" t="n"/>
      <c r="S693" s="6" t="n"/>
      <c r="T693" s="6" t="n"/>
      <c r="U693" s="6" t="n"/>
      <c r="V693" s="6" t="n"/>
      <c r="W693" s="6" t="n"/>
      <c r="X693" s="6" t="n"/>
      <c r="Y693" s="6" t="n"/>
      <c r="Z693" s="6" t="n"/>
      <c r="AA693" s="6" t="n"/>
      <c r="AB693" s="6" t="n"/>
    </row>
    <row r="694" ht="19.5" customHeight="1" s="92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6" t="n"/>
      <c r="P694" s="6" t="n"/>
      <c r="Q694" s="6" t="n"/>
      <c r="R694" s="6" t="n"/>
      <c r="S694" s="6" t="n"/>
      <c r="T694" s="6" t="n"/>
      <c r="U694" s="6" t="n"/>
      <c r="V694" s="6" t="n"/>
      <c r="W694" s="6" t="n"/>
      <c r="X694" s="6" t="n"/>
      <c r="Y694" s="6" t="n"/>
      <c r="Z694" s="6" t="n"/>
      <c r="AA694" s="6" t="n"/>
      <c r="AB694" s="6" t="n"/>
    </row>
    <row r="695" ht="19.5" customHeight="1" s="92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6" t="n"/>
      <c r="P695" s="6" t="n"/>
      <c r="Q695" s="6" t="n"/>
      <c r="R695" s="6" t="n"/>
      <c r="S695" s="6" t="n"/>
      <c r="T695" s="6" t="n"/>
      <c r="U695" s="6" t="n"/>
      <c r="V695" s="6" t="n"/>
      <c r="W695" s="6" t="n"/>
      <c r="X695" s="6" t="n"/>
      <c r="Y695" s="6" t="n"/>
      <c r="Z695" s="6" t="n"/>
      <c r="AA695" s="6" t="n"/>
      <c r="AB695" s="6" t="n"/>
    </row>
    <row r="696" ht="19.5" customHeight="1" s="92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6" t="n"/>
      <c r="P696" s="6" t="n"/>
      <c r="Q696" s="6" t="n"/>
      <c r="R696" s="6" t="n"/>
      <c r="S696" s="6" t="n"/>
      <c r="T696" s="6" t="n"/>
      <c r="U696" s="6" t="n"/>
      <c r="V696" s="6" t="n"/>
      <c r="W696" s="6" t="n"/>
      <c r="X696" s="6" t="n"/>
      <c r="Y696" s="6" t="n"/>
      <c r="Z696" s="6" t="n"/>
      <c r="AA696" s="6" t="n"/>
      <c r="AB696" s="6" t="n"/>
    </row>
    <row r="697" ht="19.5" customHeight="1" s="92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6" t="n"/>
      <c r="P697" s="6" t="n"/>
      <c r="Q697" s="6" t="n"/>
      <c r="R697" s="6" t="n"/>
      <c r="S697" s="6" t="n"/>
      <c r="T697" s="6" t="n"/>
      <c r="U697" s="6" t="n"/>
      <c r="V697" s="6" t="n"/>
      <c r="W697" s="6" t="n"/>
      <c r="X697" s="6" t="n"/>
      <c r="Y697" s="6" t="n"/>
      <c r="Z697" s="6" t="n"/>
      <c r="AA697" s="6" t="n"/>
      <c r="AB697" s="6" t="n"/>
    </row>
    <row r="698" ht="19.5" customHeight="1" s="92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6" t="n"/>
      <c r="P698" s="6" t="n"/>
      <c r="Q698" s="6" t="n"/>
      <c r="R698" s="6" t="n"/>
      <c r="S698" s="6" t="n"/>
      <c r="T698" s="6" t="n"/>
      <c r="U698" s="6" t="n"/>
      <c r="V698" s="6" t="n"/>
      <c r="W698" s="6" t="n"/>
      <c r="X698" s="6" t="n"/>
      <c r="Y698" s="6" t="n"/>
      <c r="Z698" s="6" t="n"/>
      <c r="AA698" s="6" t="n"/>
      <c r="AB698" s="6" t="n"/>
    </row>
    <row r="699" ht="19.5" customHeight="1" s="92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6" t="n"/>
      <c r="P699" s="6" t="n"/>
      <c r="Q699" s="6" t="n"/>
      <c r="R699" s="6" t="n"/>
      <c r="S699" s="6" t="n"/>
      <c r="T699" s="6" t="n"/>
      <c r="U699" s="6" t="n"/>
      <c r="V699" s="6" t="n"/>
      <c r="W699" s="6" t="n"/>
      <c r="X699" s="6" t="n"/>
      <c r="Y699" s="6" t="n"/>
      <c r="Z699" s="6" t="n"/>
      <c r="AA699" s="6" t="n"/>
      <c r="AB699" s="6" t="n"/>
    </row>
    <row r="700" ht="19.5" customHeight="1" s="92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6" t="n"/>
      <c r="P700" s="6" t="n"/>
      <c r="Q700" s="6" t="n"/>
      <c r="R700" s="6" t="n"/>
      <c r="S700" s="6" t="n"/>
      <c r="T700" s="6" t="n"/>
      <c r="U700" s="6" t="n"/>
      <c r="V700" s="6" t="n"/>
      <c r="W700" s="6" t="n"/>
      <c r="X700" s="6" t="n"/>
      <c r="Y700" s="6" t="n"/>
      <c r="Z700" s="6" t="n"/>
      <c r="AA700" s="6" t="n"/>
      <c r="AB700" s="6" t="n"/>
    </row>
    <row r="701" ht="19.5" customHeight="1" s="92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6" t="n"/>
      <c r="P701" s="6" t="n"/>
      <c r="Q701" s="6" t="n"/>
      <c r="R701" s="6" t="n"/>
      <c r="S701" s="6" t="n"/>
      <c r="T701" s="6" t="n"/>
      <c r="U701" s="6" t="n"/>
      <c r="V701" s="6" t="n"/>
      <c r="W701" s="6" t="n"/>
      <c r="X701" s="6" t="n"/>
      <c r="Y701" s="6" t="n"/>
      <c r="Z701" s="6" t="n"/>
      <c r="AA701" s="6" t="n"/>
      <c r="AB701" s="6" t="n"/>
    </row>
    <row r="702" ht="19.5" customHeight="1" s="92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6" t="n"/>
      <c r="P702" s="6" t="n"/>
      <c r="Q702" s="6" t="n"/>
      <c r="R702" s="6" t="n"/>
      <c r="S702" s="6" t="n"/>
      <c r="T702" s="6" t="n"/>
      <c r="U702" s="6" t="n"/>
      <c r="V702" s="6" t="n"/>
      <c r="W702" s="6" t="n"/>
      <c r="X702" s="6" t="n"/>
      <c r="Y702" s="6" t="n"/>
      <c r="Z702" s="6" t="n"/>
      <c r="AA702" s="6" t="n"/>
      <c r="AB702" s="6" t="n"/>
    </row>
    <row r="703" ht="19.5" customHeight="1" s="92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6" t="n"/>
      <c r="P703" s="6" t="n"/>
      <c r="Q703" s="6" t="n"/>
      <c r="R703" s="6" t="n"/>
      <c r="S703" s="6" t="n"/>
      <c r="T703" s="6" t="n"/>
      <c r="U703" s="6" t="n"/>
      <c r="V703" s="6" t="n"/>
      <c r="W703" s="6" t="n"/>
      <c r="X703" s="6" t="n"/>
      <c r="Y703" s="6" t="n"/>
      <c r="Z703" s="6" t="n"/>
      <c r="AA703" s="6" t="n"/>
      <c r="AB703" s="6" t="n"/>
    </row>
    <row r="704" ht="19.5" customHeight="1" s="92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6" t="n"/>
      <c r="P704" s="6" t="n"/>
      <c r="Q704" s="6" t="n"/>
      <c r="R704" s="6" t="n"/>
      <c r="S704" s="6" t="n"/>
      <c r="T704" s="6" t="n"/>
      <c r="U704" s="6" t="n"/>
      <c r="V704" s="6" t="n"/>
      <c r="W704" s="6" t="n"/>
      <c r="X704" s="6" t="n"/>
      <c r="Y704" s="6" t="n"/>
      <c r="Z704" s="6" t="n"/>
      <c r="AA704" s="6" t="n"/>
      <c r="AB704" s="6" t="n"/>
    </row>
    <row r="705" ht="19.5" customHeight="1" s="92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6" t="n"/>
      <c r="P705" s="6" t="n"/>
      <c r="Q705" s="6" t="n"/>
      <c r="R705" s="6" t="n"/>
      <c r="S705" s="6" t="n"/>
      <c r="T705" s="6" t="n"/>
      <c r="U705" s="6" t="n"/>
      <c r="V705" s="6" t="n"/>
      <c r="W705" s="6" t="n"/>
      <c r="X705" s="6" t="n"/>
      <c r="Y705" s="6" t="n"/>
      <c r="Z705" s="6" t="n"/>
      <c r="AA705" s="6" t="n"/>
      <c r="AB705" s="6" t="n"/>
    </row>
    <row r="706" ht="19.5" customHeight="1" s="92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6" t="n"/>
      <c r="P706" s="6" t="n"/>
      <c r="Q706" s="6" t="n"/>
      <c r="R706" s="6" t="n"/>
      <c r="S706" s="6" t="n"/>
      <c r="T706" s="6" t="n"/>
      <c r="U706" s="6" t="n"/>
      <c r="V706" s="6" t="n"/>
      <c r="W706" s="6" t="n"/>
      <c r="X706" s="6" t="n"/>
      <c r="Y706" s="6" t="n"/>
      <c r="Z706" s="6" t="n"/>
      <c r="AA706" s="6" t="n"/>
      <c r="AB706" s="6" t="n"/>
    </row>
    <row r="707" ht="19.5" customHeight="1" s="92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6" t="n"/>
      <c r="P707" s="6" t="n"/>
      <c r="Q707" s="6" t="n"/>
      <c r="R707" s="6" t="n"/>
      <c r="S707" s="6" t="n"/>
      <c r="T707" s="6" t="n"/>
      <c r="U707" s="6" t="n"/>
      <c r="V707" s="6" t="n"/>
      <c r="W707" s="6" t="n"/>
      <c r="X707" s="6" t="n"/>
      <c r="Y707" s="6" t="n"/>
      <c r="Z707" s="6" t="n"/>
      <c r="AA707" s="6" t="n"/>
      <c r="AB707" s="6" t="n"/>
    </row>
    <row r="708" ht="19.5" customHeight="1" s="92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6" t="n"/>
      <c r="P708" s="6" t="n"/>
      <c r="Q708" s="6" t="n"/>
      <c r="R708" s="6" t="n"/>
      <c r="S708" s="6" t="n"/>
      <c r="T708" s="6" t="n"/>
      <c r="U708" s="6" t="n"/>
      <c r="V708" s="6" t="n"/>
      <c r="W708" s="6" t="n"/>
      <c r="X708" s="6" t="n"/>
      <c r="Y708" s="6" t="n"/>
      <c r="Z708" s="6" t="n"/>
      <c r="AA708" s="6" t="n"/>
      <c r="AB708" s="6" t="n"/>
    </row>
    <row r="709" ht="19.5" customHeight="1" s="92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6" t="n"/>
      <c r="P709" s="6" t="n"/>
      <c r="Q709" s="6" t="n"/>
      <c r="R709" s="6" t="n"/>
      <c r="S709" s="6" t="n"/>
      <c r="T709" s="6" t="n"/>
      <c r="U709" s="6" t="n"/>
      <c r="V709" s="6" t="n"/>
      <c r="W709" s="6" t="n"/>
      <c r="X709" s="6" t="n"/>
      <c r="Y709" s="6" t="n"/>
      <c r="Z709" s="6" t="n"/>
      <c r="AA709" s="6" t="n"/>
      <c r="AB709" s="6" t="n"/>
    </row>
    <row r="710" ht="19.5" customHeight="1" s="92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6" t="n"/>
      <c r="P710" s="6" t="n"/>
      <c r="Q710" s="6" t="n"/>
      <c r="R710" s="6" t="n"/>
      <c r="S710" s="6" t="n"/>
      <c r="T710" s="6" t="n"/>
      <c r="U710" s="6" t="n"/>
      <c r="V710" s="6" t="n"/>
      <c r="W710" s="6" t="n"/>
      <c r="X710" s="6" t="n"/>
      <c r="Y710" s="6" t="n"/>
      <c r="Z710" s="6" t="n"/>
      <c r="AA710" s="6" t="n"/>
      <c r="AB710" s="6" t="n"/>
    </row>
    <row r="711" ht="19.5" customHeight="1" s="92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6" t="n"/>
      <c r="P711" s="6" t="n"/>
      <c r="Q711" s="6" t="n"/>
      <c r="R711" s="6" t="n"/>
      <c r="S711" s="6" t="n"/>
      <c r="T711" s="6" t="n"/>
      <c r="U711" s="6" t="n"/>
      <c r="V711" s="6" t="n"/>
      <c r="W711" s="6" t="n"/>
      <c r="X711" s="6" t="n"/>
      <c r="Y711" s="6" t="n"/>
      <c r="Z711" s="6" t="n"/>
      <c r="AA711" s="6" t="n"/>
      <c r="AB711" s="6" t="n"/>
    </row>
    <row r="712" ht="19.5" customHeight="1" s="92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6" t="n"/>
      <c r="P712" s="6" t="n"/>
      <c r="Q712" s="6" t="n"/>
      <c r="R712" s="6" t="n"/>
      <c r="S712" s="6" t="n"/>
      <c r="T712" s="6" t="n"/>
      <c r="U712" s="6" t="n"/>
      <c r="V712" s="6" t="n"/>
      <c r="W712" s="6" t="n"/>
      <c r="X712" s="6" t="n"/>
      <c r="Y712" s="6" t="n"/>
      <c r="Z712" s="6" t="n"/>
      <c r="AA712" s="6" t="n"/>
      <c r="AB712" s="6" t="n"/>
    </row>
    <row r="713" ht="19.5" customHeight="1" s="92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6" t="n"/>
      <c r="P713" s="6" t="n"/>
      <c r="Q713" s="6" t="n"/>
      <c r="R713" s="6" t="n"/>
      <c r="S713" s="6" t="n"/>
      <c r="T713" s="6" t="n"/>
      <c r="U713" s="6" t="n"/>
      <c r="V713" s="6" t="n"/>
      <c r="W713" s="6" t="n"/>
      <c r="X713" s="6" t="n"/>
      <c r="Y713" s="6" t="n"/>
      <c r="Z713" s="6" t="n"/>
      <c r="AA713" s="6" t="n"/>
      <c r="AB713" s="6" t="n"/>
    </row>
    <row r="714" ht="19.5" customHeight="1" s="92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6" t="n"/>
      <c r="P714" s="6" t="n"/>
      <c r="Q714" s="6" t="n"/>
      <c r="R714" s="6" t="n"/>
      <c r="S714" s="6" t="n"/>
      <c r="T714" s="6" t="n"/>
      <c r="U714" s="6" t="n"/>
      <c r="V714" s="6" t="n"/>
      <c r="W714" s="6" t="n"/>
      <c r="X714" s="6" t="n"/>
      <c r="Y714" s="6" t="n"/>
      <c r="Z714" s="6" t="n"/>
      <c r="AA714" s="6" t="n"/>
      <c r="AB714" s="6" t="n"/>
    </row>
    <row r="715" ht="19.5" customHeight="1" s="92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6" t="n"/>
      <c r="P715" s="6" t="n"/>
      <c r="Q715" s="6" t="n"/>
      <c r="R715" s="6" t="n"/>
      <c r="S715" s="6" t="n"/>
      <c r="T715" s="6" t="n"/>
      <c r="U715" s="6" t="n"/>
      <c r="V715" s="6" t="n"/>
      <c r="W715" s="6" t="n"/>
      <c r="X715" s="6" t="n"/>
      <c r="Y715" s="6" t="n"/>
      <c r="Z715" s="6" t="n"/>
      <c r="AA715" s="6" t="n"/>
      <c r="AB715" s="6" t="n"/>
    </row>
    <row r="716" ht="19.5" customHeight="1" s="92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6" t="n"/>
      <c r="P716" s="6" t="n"/>
      <c r="Q716" s="6" t="n"/>
      <c r="R716" s="6" t="n"/>
      <c r="S716" s="6" t="n"/>
      <c r="T716" s="6" t="n"/>
      <c r="U716" s="6" t="n"/>
      <c r="V716" s="6" t="n"/>
      <c r="W716" s="6" t="n"/>
      <c r="X716" s="6" t="n"/>
      <c r="Y716" s="6" t="n"/>
      <c r="Z716" s="6" t="n"/>
      <c r="AA716" s="6" t="n"/>
      <c r="AB716" s="6" t="n"/>
    </row>
    <row r="717" ht="19.5" customHeight="1" s="92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6" t="n"/>
      <c r="P717" s="6" t="n"/>
      <c r="Q717" s="6" t="n"/>
      <c r="R717" s="6" t="n"/>
      <c r="S717" s="6" t="n"/>
      <c r="T717" s="6" t="n"/>
      <c r="U717" s="6" t="n"/>
      <c r="V717" s="6" t="n"/>
      <c r="W717" s="6" t="n"/>
      <c r="X717" s="6" t="n"/>
      <c r="Y717" s="6" t="n"/>
      <c r="Z717" s="6" t="n"/>
      <c r="AA717" s="6" t="n"/>
      <c r="AB717" s="6" t="n"/>
    </row>
    <row r="718" ht="19.5" customHeight="1" s="92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6" t="n"/>
      <c r="P718" s="6" t="n"/>
      <c r="Q718" s="6" t="n"/>
      <c r="R718" s="6" t="n"/>
      <c r="S718" s="6" t="n"/>
      <c r="T718" s="6" t="n"/>
      <c r="U718" s="6" t="n"/>
      <c r="V718" s="6" t="n"/>
      <c r="W718" s="6" t="n"/>
      <c r="X718" s="6" t="n"/>
      <c r="Y718" s="6" t="n"/>
      <c r="Z718" s="6" t="n"/>
      <c r="AA718" s="6" t="n"/>
      <c r="AB718" s="6" t="n"/>
    </row>
    <row r="719" ht="19.5" customHeight="1" s="92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6" t="n"/>
      <c r="P719" s="6" t="n"/>
      <c r="Q719" s="6" t="n"/>
      <c r="R719" s="6" t="n"/>
      <c r="S719" s="6" t="n"/>
      <c r="T719" s="6" t="n"/>
      <c r="U719" s="6" t="n"/>
      <c r="V719" s="6" t="n"/>
      <c r="W719" s="6" t="n"/>
      <c r="X719" s="6" t="n"/>
      <c r="Y719" s="6" t="n"/>
      <c r="Z719" s="6" t="n"/>
      <c r="AA719" s="6" t="n"/>
      <c r="AB719" s="6" t="n"/>
    </row>
    <row r="720" ht="19.5" customHeight="1" s="92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6" t="n"/>
      <c r="P720" s="6" t="n"/>
      <c r="Q720" s="6" t="n"/>
      <c r="R720" s="6" t="n"/>
      <c r="S720" s="6" t="n"/>
      <c r="T720" s="6" t="n"/>
      <c r="U720" s="6" t="n"/>
      <c r="V720" s="6" t="n"/>
      <c r="W720" s="6" t="n"/>
      <c r="X720" s="6" t="n"/>
      <c r="Y720" s="6" t="n"/>
      <c r="Z720" s="6" t="n"/>
      <c r="AA720" s="6" t="n"/>
      <c r="AB720" s="6" t="n"/>
    </row>
    <row r="721" ht="19.5" customHeight="1" s="92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6" t="n"/>
      <c r="P721" s="6" t="n"/>
      <c r="Q721" s="6" t="n"/>
      <c r="R721" s="6" t="n"/>
      <c r="S721" s="6" t="n"/>
      <c r="T721" s="6" t="n"/>
      <c r="U721" s="6" t="n"/>
      <c r="V721" s="6" t="n"/>
      <c r="W721" s="6" t="n"/>
      <c r="X721" s="6" t="n"/>
      <c r="Y721" s="6" t="n"/>
      <c r="Z721" s="6" t="n"/>
      <c r="AA721" s="6" t="n"/>
      <c r="AB721" s="6" t="n"/>
    </row>
    <row r="722" ht="19.5" customHeight="1" s="92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6" t="n"/>
      <c r="P722" s="6" t="n"/>
      <c r="Q722" s="6" t="n"/>
      <c r="R722" s="6" t="n"/>
      <c r="S722" s="6" t="n"/>
      <c r="T722" s="6" t="n"/>
      <c r="U722" s="6" t="n"/>
      <c r="V722" s="6" t="n"/>
      <c r="W722" s="6" t="n"/>
      <c r="X722" s="6" t="n"/>
      <c r="Y722" s="6" t="n"/>
      <c r="Z722" s="6" t="n"/>
      <c r="AA722" s="6" t="n"/>
      <c r="AB722" s="6" t="n"/>
    </row>
    <row r="723" ht="19.5" customHeight="1" s="92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6" t="n"/>
      <c r="P723" s="6" t="n"/>
      <c r="Q723" s="6" t="n"/>
      <c r="R723" s="6" t="n"/>
      <c r="S723" s="6" t="n"/>
      <c r="T723" s="6" t="n"/>
      <c r="U723" s="6" t="n"/>
      <c r="V723" s="6" t="n"/>
      <c r="W723" s="6" t="n"/>
      <c r="X723" s="6" t="n"/>
      <c r="Y723" s="6" t="n"/>
      <c r="Z723" s="6" t="n"/>
      <c r="AA723" s="6" t="n"/>
      <c r="AB723" s="6" t="n"/>
    </row>
    <row r="724" ht="19.5" customHeight="1" s="92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6" t="n"/>
      <c r="P724" s="6" t="n"/>
      <c r="Q724" s="6" t="n"/>
      <c r="R724" s="6" t="n"/>
      <c r="S724" s="6" t="n"/>
      <c r="T724" s="6" t="n"/>
      <c r="U724" s="6" t="n"/>
      <c r="V724" s="6" t="n"/>
      <c r="W724" s="6" t="n"/>
      <c r="X724" s="6" t="n"/>
      <c r="Y724" s="6" t="n"/>
      <c r="Z724" s="6" t="n"/>
      <c r="AA724" s="6" t="n"/>
      <c r="AB724" s="6" t="n"/>
    </row>
    <row r="725" ht="19.5" customHeight="1" s="92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6" t="n"/>
      <c r="P725" s="6" t="n"/>
      <c r="Q725" s="6" t="n"/>
      <c r="R725" s="6" t="n"/>
      <c r="S725" s="6" t="n"/>
      <c r="T725" s="6" t="n"/>
      <c r="U725" s="6" t="n"/>
      <c r="V725" s="6" t="n"/>
      <c r="W725" s="6" t="n"/>
      <c r="X725" s="6" t="n"/>
      <c r="Y725" s="6" t="n"/>
      <c r="Z725" s="6" t="n"/>
      <c r="AA725" s="6" t="n"/>
      <c r="AB725" s="6" t="n"/>
    </row>
    <row r="726" ht="19.5" customHeight="1" s="92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6" t="n"/>
      <c r="P726" s="6" t="n"/>
      <c r="Q726" s="6" t="n"/>
      <c r="R726" s="6" t="n"/>
      <c r="S726" s="6" t="n"/>
      <c r="T726" s="6" t="n"/>
      <c r="U726" s="6" t="n"/>
      <c r="V726" s="6" t="n"/>
      <c r="W726" s="6" t="n"/>
      <c r="X726" s="6" t="n"/>
      <c r="Y726" s="6" t="n"/>
      <c r="Z726" s="6" t="n"/>
      <c r="AA726" s="6" t="n"/>
      <c r="AB726" s="6" t="n"/>
    </row>
    <row r="727" ht="19.5" customHeight="1" s="92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6" t="n"/>
      <c r="P727" s="6" t="n"/>
      <c r="Q727" s="6" t="n"/>
      <c r="R727" s="6" t="n"/>
      <c r="S727" s="6" t="n"/>
      <c r="T727" s="6" t="n"/>
      <c r="U727" s="6" t="n"/>
      <c r="V727" s="6" t="n"/>
      <c r="W727" s="6" t="n"/>
      <c r="X727" s="6" t="n"/>
      <c r="Y727" s="6" t="n"/>
      <c r="Z727" s="6" t="n"/>
      <c r="AA727" s="6" t="n"/>
      <c r="AB727" s="6" t="n"/>
    </row>
    <row r="728" ht="19.5" customHeight="1" s="92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6" t="n"/>
      <c r="P728" s="6" t="n"/>
      <c r="Q728" s="6" t="n"/>
      <c r="R728" s="6" t="n"/>
      <c r="S728" s="6" t="n"/>
      <c r="T728" s="6" t="n"/>
      <c r="U728" s="6" t="n"/>
      <c r="V728" s="6" t="n"/>
      <c r="W728" s="6" t="n"/>
      <c r="X728" s="6" t="n"/>
      <c r="Y728" s="6" t="n"/>
      <c r="Z728" s="6" t="n"/>
      <c r="AA728" s="6" t="n"/>
      <c r="AB728" s="6" t="n"/>
    </row>
    <row r="729" ht="19.5" customHeight="1" s="92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6" t="n"/>
      <c r="P729" s="6" t="n"/>
      <c r="Q729" s="6" t="n"/>
      <c r="R729" s="6" t="n"/>
      <c r="S729" s="6" t="n"/>
      <c r="T729" s="6" t="n"/>
      <c r="U729" s="6" t="n"/>
      <c r="V729" s="6" t="n"/>
      <c r="W729" s="6" t="n"/>
      <c r="X729" s="6" t="n"/>
      <c r="Y729" s="6" t="n"/>
      <c r="Z729" s="6" t="n"/>
      <c r="AA729" s="6" t="n"/>
      <c r="AB729" s="6" t="n"/>
    </row>
    <row r="730" ht="19.5" customHeight="1" s="92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6" t="n"/>
      <c r="P730" s="6" t="n"/>
      <c r="Q730" s="6" t="n"/>
      <c r="R730" s="6" t="n"/>
      <c r="S730" s="6" t="n"/>
      <c r="T730" s="6" t="n"/>
      <c r="U730" s="6" t="n"/>
      <c r="V730" s="6" t="n"/>
      <c r="W730" s="6" t="n"/>
      <c r="X730" s="6" t="n"/>
      <c r="Y730" s="6" t="n"/>
      <c r="Z730" s="6" t="n"/>
      <c r="AA730" s="6" t="n"/>
      <c r="AB730" s="6" t="n"/>
    </row>
    <row r="731" ht="19.5" customHeight="1" s="92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6" t="n"/>
      <c r="P731" s="6" t="n"/>
      <c r="Q731" s="6" t="n"/>
      <c r="R731" s="6" t="n"/>
      <c r="S731" s="6" t="n"/>
      <c r="T731" s="6" t="n"/>
      <c r="U731" s="6" t="n"/>
      <c r="V731" s="6" t="n"/>
      <c r="W731" s="6" t="n"/>
      <c r="X731" s="6" t="n"/>
      <c r="Y731" s="6" t="n"/>
      <c r="Z731" s="6" t="n"/>
      <c r="AA731" s="6" t="n"/>
      <c r="AB731" s="6" t="n"/>
    </row>
    <row r="732" ht="19.5" customHeight="1" s="92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6" t="n"/>
      <c r="P732" s="6" t="n"/>
      <c r="Q732" s="6" t="n"/>
      <c r="R732" s="6" t="n"/>
      <c r="S732" s="6" t="n"/>
      <c r="T732" s="6" t="n"/>
      <c r="U732" s="6" t="n"/>
      <c r="V732" s="6" t="n"/>
      <c r="W732" s="6" t="n"/>
      <c r="X732" s="6" t="n"/>
      <c r="Y732" s="6" t="n"/>
      <c r="Z732" s="6" t="n"/>
      <c r="AA732" s="6" t="n"/>
      <c r="AB732" s="6" t="n"/>
    </row>
    <row r="733" ht="19.5" customHeight="1" s="92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6" t="n"/>
      <c r="P733" s="6" t="n"/>
      <c r="Q733" s="6" t="n"/>
      <c r="R733" s="6" t="n"/>
      <c r="S733" s="6" t="n"/>
      <c r="T733" s="6" t="n"/>
      <c r="U733" s="6" t="n"/>
      <c r="V733" s="6" t="n"/>
      <c r="W733" s="6" t="n"/>
      <c r="X733" s="6" t="n"/>
      <c r="Y733" s="6" t="n"/>
      <c r="Z733" s="6" t="n"/>
      <c r="AA733" s="6" t="n"/>
      <c r="AB733" s="6" t="n"/>
    </row>
    <row r="734" ht="19.5" customHeight="1" s="92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6" t="n"/>
      <c r="P734" s="6" t="n"/>
      <c r="Q734" s="6" t="n"/>
      <c r="R734" s="6" t="n"/>
      <c r="S734" s="6" t="n"/>
      <c r="T734" s="6" t="n"/>
      <c r="U734" s="6" t="n"/>
      <c r="V734" s="6" t="n"/>
      <c r="W734" s="6" t="n"/>
      <c r="X734" s="6" t="n"/>
      <c r="Y734" s="6" t="n"/>
      <c r="Z734" s="6" t="n"/>
      <c r="AA734" s="6" t="n"/>
      <c r="AB734" s="6" t="n"/>
    </row>
    <row r="735" ht="19.5" customHeight="1" s="92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6" t="n"/>
      <c r="P735" s="6" t="n"/>
      <c r="Q735" s="6" t="n"/>
      <c r="R735" s="6" t="n"/>
      <c r="S735" s="6" t="n"/>
      <c r="T735" s="6" t="n"/>
      <c r="U735" s="6" t="n"/>
      <c r="V735" s="6" t="n"/>
      <c r="W735" s="6" t="n"/>
      <c r="X735" s="6" t="n"/>
      <c r="Y735" s="6" t="n"/>
      <c r="Z735" s="6" t="n"/>
      <c r="AA735" s="6" t="n"/>
      <c r="AB735" s="6" t="n"/>
    </row>
    <row r="736" ht="19.5" customHeight="1" s="92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6" t="n"/>
      <c r="P736" s="6" t="n"/>
      <c r="Q736" s="6" t="n"/>
      <c r="R736" s="6" t="n"/>
      <c r="S736" s="6" t="n"/>
      <c r="T736" s="6" t="n"/>
      <c r="U736" s="6" t="n"/>
      <c r="V736" s="6" t="n"/>
      <c r="W736" s="6" t="n"/>
      <c r="X736" s="6" t="n"/>
      <c r="Y736" s="6" t="n"/>
      <c r="Z736" s="6" t="n"/>
      <c r="AA736" s="6" t="n"/>
      <c r="AB736" s="6" t="n"/>
    </row>
    <row r="737" ht="19.5" customHeight="1" s="92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6" t="n"/>
      <c r="P737" s="6" t="n"/>
      <c r="Q737" s="6" t="n"/>
      <c r="R737" s="6" t="n"/>
      <c r="S737" s="6" t="n"/>
      <c r="T737" s="6" t="n"/>
      <c r="U737" s="6" t="n"/>
      <c r="V737" s="6" t="n"/>
      <c r="W737" s="6" t="n"/>
      <c r="X737" s="6" t="n"/>
      <c r="Y737" s="6" t="n"/>
      <c r="Z737" s="6" t="n"/>
      <c r="AA737" s="6" t="n"/>
      <c r="AB737" s="6" t="n"/>
    </row>
    <row r="738" ht="19.5" customHeight="1" s="92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6" t="n"/>
      <c r="P738" s="6" t="n"/>
      <c r="Q738" s="6" t="n"/>
      <c r="R738" s="6" t="n"/>
      <c r="S738" s="6" t="n"/>
      <c r="T738" s="6" t="n"/>
      <c r="U738" s="6" t="n"/>
      <c r="V738" s="6" t="n"/>
      <c r="W738" s="6" t="n"/>
      <c r="X738" s="6" t="n"/>
      <c r="Y738" s="6" t="n"/>
      <c r="Z738" s="6" t="n"/>
      <c r="AA738" s="6" t="n"/>
      <c r="AB738" s="6" t="n"/>
    </row>
    <row r="739" ht="19.5" customHeight="1" s="92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6" t="n"/>
      <c r="P739" s="6" t="n"/>
      <c r="Q739" s="6" t="n"/>
      <c r="R739" s="6" t="n"/>
      <c r="S739" s="6" t="n"/>
      <c r="T739" s="6" t="n"/>
      <c r="U739" s="6" t="n"/>
      <c r="V739" s="6" t="n"/>
      <c r="W739" s="6" t="n"/>
      <c r="X739" s="6" t="n"/>
      <c r="Y739" s="6" t="n"/>
      <c r="Z739" s="6" t="n"/>
      <c r="AA739" s="6" t="n"/>
      <c r="AB739" s="6" t="n"/>
    </row>
    <row r="740" ht="19.5" customHeight="1" s="92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6" t="n"/>
      <c r="P740" s="6" t="n"/>
      <c r="Q740" s="6" t="n"/>
      <c r="R740" s="6" t="n"/>
      <c r="S740" s="6" t="n"/>
      <c r="T740" s="6" t="n"/>
      <c r="U740" s="6" t="n"/>
      <c r="V740" s="6" t="n"/>
      <c r="W740" s="6" t="n"/>
      <c r="X740" s="6" t="n"/>
      <c r="Y740" s="6" t="n"/>
      <c r="Z740" s="6" t="n"/>
      <c r="AA740" s="6" t="n"/>
      <c r="AB740" s="6" t="n"/>
    </row>
    <row r="741" ht="19.5" customHeight="1" s="92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6" t="n"/>
      <c r="P741" s="6" t="n"/>
      <c r="Q741" s="6" t="n"/>
      <c r="R741" s="6" t="n"/>
      <c r="S741" s="6" t="n"/>
      <c r="T741" s="6" t="n"/>
      <c r="U741" s="6" t="n"/>
      <c r="V741" s="6" t="n"/>
      <c r="W741" s="6" t="n"/>
      <c r="X741" s="6" t="n"/>
      <c r="Y741" s="6" t="n"/>
      <c r="Z741" s="6" t="n"/>
      <c r="AA741" s="6" t="n"/>
      <c r="AB741" s="6" t="n"/>
    </row>
    <row r="742" ht="19.5" customHeight="1" s="92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6" t="n"/>
      <c r="P742" s="6" t="n"/>
      <c r="Q742" s="6" t="n"/>
      <c r="R742" s="6" t="n"/>
      <c r="S742" s="6" t="n"/>
      <c r="T742" s="6" t="n"/>
      <c r="U742" s="6" t="n"/>
      <c r="V742" s="6" t="n"/>
      <c r="W742" s="6" t="n"/>
      <c r="X742" s="6" t="n"/>
      <c r="Y742" s="6" t="n"/>
      <c r="Z742" s="6" t="n"/>
      <c r="AA742" s="6" t="n"/>
      <c r="AB742" s="6" t="n"/>
    </row>
    <row r="743" ht="19.5" customHeight="1" s="92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6" t="n"/>
      <c r="P743" s="6" t="n"/>
      <c r="Q743" s="6" t="n"/>
      <c r="R743" s="6" t="n"/>
      <c r="S743" s="6" t="n"/>
      <c r="T743" s="6" t="n"/>
      <c r="U743" s="6" t="n"/>
      <c r="V743" s="6" t="n"/>
      <c r="W743" s="6" t="n"/>
      <c r="X743" s="6" t="n"/>
      <c r="Y743" s="6" t="n"/>
      <c r="Z743" s="6" t="n"/>
      <c r="AA743" s="6" t="n"/>
      <c r="AB743" s="6" t="n"/>
    </row>
    <row r="744" ht="19.5" customHeight="1" s="92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6" t="n"/>
      <c r="P744" s="6" t="n"/>
      <c r="Q744" s="6" t="n"/>
      <c r="R744" s="6" t="n"/>
      <c r="S744" s="6" t="n"/>
      <c r="T744" s="6" t="n"/>
      <c r="U744" s="6" t="n"/>
      <c r="V744" s="6" t="n"/>
      <c r="W744" s="6" t="n"/>
      <c r="X744" s="6" t="n"/>
      <c r="Y744" s="6" t="n"/>
      <c r="Z744" s="6" t="n"/>
      <c r="AA744" s="6" t="n"/>
      <c r="AB744" s="6" t="n"/>
    </row>
    <row r="745" ht="19.5" customHeight="1" s="92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6" t="n"/>
      <c r="P745" s="6" t="n"/>
      <c r="Q745" s="6" t="n"/>
      <c r="R745" s="6" t="n"/>
      <c r="S745" s="6" t="n"/>
      <c r="T745" s="6" t="n"/>
      <c r="U745" s="6" t="n"/>
      <c r="V745" s="6" t="n"/>
      <c r="W745" s="6" t="n"/>
      <c r="X745" s="6" t="n"/>
      <c r="Y745" s="6" t="n"/>
      <c r="Z745" s="6" t="n"/>
      <c r="AA745" s="6" t="n"/>
      <c r="AB745" s="6" t="n"/>
    </row>
    <row r="746" ht="19.5" customHeight="1" s="92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6" t="n"/>
      <c r="P746" s="6" t="n"/>
      <c r="Q746" s="6" t="n"/>
      <c r="R746" s="6" t="n"/>
      <c r="S746" s="6" t="n"/>
      <c r="T746" s="6" t="n"/>
      <c r="U746" s="6" t="n"/>
      <c r="V746" s="6" t="n"/>
      <c r="W746" s="6" t="n"/>
      <c r="X746" s="6" t="n"/>
      <c r="Y746" s="6" t="n"/>
      <c r="Z746" s="6" t="n"/>
      <c r="AA746" s="6" t="n"/>
      <c r="AB746" s="6" t="n"/>
    </row>
    <row r="747" ht="19.5" customHeight="1" s="92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6" t="n"/>
      <c r="P747" s="6" t="n"/>
      <c r="Q747" s="6" t="n"/>
      <c r="R747" s="6" t="n"/>
      <c r="S747" s="6" t="n"/>
      <c r="T747" s="6" t="n"/>
      <c r="U747" s="6" t="n"/>
      <c r="V747" s="6" t="n"/>
      <c r="W747" s="6" t="n"/>
      <c r="X747" s="6" t="n"/>
      <c r="Y747" s="6" t="n"/>
      <c r="Z747" s="6" t="n"/>
      <c r="AA747" s="6" t="n"/>
      <c r="AB747" s="6" t="n"/>
    </row>
    <row r="748" ht="19.5" customHeight="1" s="92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6" t="n"/>
      <c r="P748" s="6" t="n"/>
      <c r="Q748" s="6" t="n"/>
      <c r="R748" s="6" t="n"/>
      <c r="S748" s="6" t="n"/>
      <c r="T748" s="6" t="n"/>
      <c r="U748" s="6" t="n"/>
      <c r="V748" s="6" t="n"/>
      <c r="W748" s="6" t="n"/>
      <c r="X748" s="6" t="n"/>
      <c r="Y748" s="6" t="n"/>
      <c r="Z748" s="6" t="n"/>
      <c r="AA748" s="6" t="n"/>
      <c r="AB748" s="6" t="n"/>
    </row>
    <row r="749" ht="19.5" customHeight="1" s="92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6" t="n"/>
      <c r="P749" s="6" t="n"/>
      <c r="Q749" s="6" t="n"/>
      <c r="R749" s="6" t="n"/>
      <c r="S749" s="6" t="n"/>
      <c r="T749" s="6" t="n"/>
      <c r="U749" s="6" t="n"/>
      <c r="V749" s="6" t="n"/>
      <c r="W749" s="6" t="n"/>
      <c r="X749" s="6" t="n"/>
      <c r="Y749" s="6" t="n"/>
      <c r="Z749" s="6" t="n"/>
      <c r="AA749" s="6" t="n"/>
      <c r="AB749" s="6" t="n"/>
    </row>
    <row r="750" ht="19.5" customHeight="1" s="92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6" t="n"/>
      <c r="P750" s="6" t="n"/>
      <c r="Q750" s="6" t="n"/>
      <c r="R750" s="6" t="n"/>
      <c r="S750" s="6" t="n"/>
      <c r="T750" s="6" t="n"/>
      <c r="U750" s="6" t="n"/>
      <c r="V750" s="6" t="n"/>
      <c r="W750" s="6" t="n"/>
      <c r="X750" s="6" t="n"/>
      <c r="Y750" s="6" t="n"/>
      <c r="Z750" s="6" t="n"/>
      <c r="AA750" s="6" t="n"/>
      <c r="AB750" s="6" t="n"/>
    </row>
    <row r="751" ht="19.5" customHeight="1" s="92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6" t="n"/>
      <c r="P751" s="6" t="n"/>
      <c r="Q751" s="6" t="n"/>
      <c r="R751" s="6" t="n"/>
      <c r="S751" s="6" t="n"/>
      <c r="T751" s="6" t="n"/>
      <c r="U751" s="6" t="n"/>
      <c r="V751" s="6" t="n"/>
      <c r="W751" s="6" t="n"/>
      <c r="X751" s="6" t="n"/>
      <c r="Y751" s="6" t="n"/>
      <c r="Z751" s="6" t="n"/>
      <c r="AA751" s="6" t="n"/>
      <c r="AB751" s="6" t="n"/>
    </row>
    <row r="752" ht="19.5" customHeight="1" s="92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6" t="n"/>
      <c r="P752" s="6" t="n"/>
      <c r="Q752" s="6" t="n"/>
      <c r="R752" s="6" t="n"/>
      <c r="S752" s="6" t="n"/>
      <c r="T752" s="6" t="n"/>
      <c r="U752" s="6" t="n"/>
      <c r="V752" s="6" t="n"/>
      <c r="W752" s="6" t="n"/>
      <c r="X752" s="6" t="n"/>
      <c r="Y752" s="6" t="n"/>
      <c r="Z752" s="6" t="n"/>
      <c r="AA752" s="6" t="n"/>
      <c r="AB752" s="6" t="n"/>
    </row>
    <row r="753" ht="19.5" customHeight="1" s="92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6" t="n"/>
      <c r="P753" s="6" t="n"/>
      <c r="Q753" s="6" t="n"/>
      <c r="R753" s="6" t="n"/>
      <c r="S753" s="6" t="n"/>
      <c r="T753" s="6" t="n"/>
      <c r="U753" s="6" t="n"/>
      <c r="V753" s="6" t="n"/>
      <c r="W753" s="6" t="n"/>
      <c r="X753" s="6" t="n"/>
      <c r="Y753" s="6" t="n"/>
      <c r="Z753" s="6" t="n"/>
      <c r="AA753" s="6" t="n"/>
      <c r="AB753" s="6" t="n"/>
    </row>
    <row r="754" ht="19.5" customHeight="1" s="92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6" t="n"/>
      <c r="P754" s="6" t="n"/>
      <c r="Q754" s="6" t="n"/>
      <c r="R754" s="6" t="n"/>
      <c r="S754" s="6" t="n"/>
      <c r="T754" s="6" t="n"/>
      <c r="U754" s="6" t="n"/>
      <c r="V754" s="6" t="n"/>
      <c r="W754" s="6" t="n"/>
      <c r="X754" s="6" t="n"/>
      <c r="Y754" s="6" t="n"/>
      <c r="Z754" s="6" t="n"/>
      <c r="AA754" s="6" t="n"/>
      <c r="AB754" s="6" t="n"/>
    </row>
    <row r="755" ht="19.5" customHeight="1" s="92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6" t="n"/>
      <c r="P755" s="6" t="n"/>
      <c r="Q755" s="6" t="n"/>
      <c r="R755" s="6" t="n"/>
      <c r="S755" s="6" t="n"/>
      <c r="T755" s="6" t="n"/>
      <c r="U755" s="6" t="n"/>
      <c r="V755" s="6" t="n"/>
      <c r="W755" s="6" t="n"/>
      <c r="X755" s="6" t="n"/>
      <c r="Y755" s="6" t="n"/>
      <c r="Z755" s="6" t="n"/>
      <c r="AA755" s="6" t="n"/>
      <c r="AB755" s="6" t="n"/>
    </row>
    <row r="756" ht="19.5" customHeight="1" s="92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6" t="n"/>
      <c r="P756" s="6" t="n"/>
      <c r="Q756" s="6" t="n"/>
      <c r="R756" s="6" t="n"/>
      <c r="S756" s="6" t="n"/>
      <c r="T756" s="6" t="n"/>
      <c r="U756" s="6" t="n"/>
      <c r="V756" s="6" t="n"/>
      <c r="W756" s="6" t="n"/>
      <c r="X756" s="6" t="n"/>
      <c r="Y756" s="6" t="n"/>
      <c r="Z756" s="6" t="n"/>
      <c r="AA756" s="6" t="n"/>
      <c r="AB756" s="6" t="n"/>
    </row>
    <row r="757" ht="19.5" customHeight="1" s="92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6" t="n"/>
      <c r="P757" s="6" t="n"/>
      <c r="Q757" s="6" t="n"/>
      <c r="R757" s="6" t="n"/>
      <c r="S757" s="6" t="n"/>
      <c r="T757" s="6" t="n"/>
      <c r="U757" s="6" t="n"/>
      <c r="V757" s="6" t="n"/>
      <c r="W757" s="6" t="n"/>
      <c r="X757" s="6" t="n"/>
      <c r="Y757" s="6" t="n"/>
      <c r="Z757" s="6" t="n"/>
      <c r="AA757" s="6" t="n"/>
      <c r="AB757" s="6" t="n"/>
    </row>
    <row r="758" ht="19.5" customHeight="1" s="92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6" t="n"/>
      <c r="P758" s="6" t="n"/>
      <c r="Q758" s="6" t="n"/>
      <c r="R758" s="6" t="n"/>
      <c r="S758" s="6" t="n"/>
      <c r="T758" s="6" t="n"/>
      <c r="U758" s="6" t="n"/>
      <c r="V758" s="6" t="n"/>
      <c r="W758" s="6" t="n"/>
      <c r="X758" s="6" t="n"/>
      <c r="Y758" s="6" t="n"/>
      <c r="Z758" s="6" t="n"/>
      <c r="AA758" s="6" t="n"/>
      <c r="AB758" s="6" t="n"/>
    </row>
    <row r="759" ht="19.5" customHeight="1" s="92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6" t="n"/>
      <c r="P759" s="6" t="n"/>
      <c r="Q759" s="6" t="n"/>
      <c r="R759" s="6" t="n"/>
      <c r="S759" s="6" t="n"/>
      <c r="T759" s="6" t="n"/>
      <c r="U759" s="6" t="n"/>
      <c r="V759" s="6" t="n"/>
      <c r="W759" s="6" t="n"/>
      <c r="X759" s="6" t="n"/>
      <c r="Y759" s="6" t="n"/>
      <c r="Z759" s="6" t="n"/>
      <c r="AA759" s="6" t="n"/>
      <c r="AB759" s="6" t="n"/>
    </row>
    <row r="760" ht="19.5" customHeight="1" s="92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6" t="n"/>
      <c r="P760" s="6" t="n"/>
      <c r="Q760" s="6" t="n"/>
      <c r="R760" s="6" t="n"/>
      <c r="S760" s="6" t="n"/>
      <c r="T760" s="6" t="n"/>
      <c r="U760" s="6" t="n"/>
      <c r="V760" s="6" t="n"/>
      <c r="W760" s="6" t="n"/>
      <c r="X760" s="6" t="n"/>
      <c r="Y760" s="6" t="n"/>
      <c r="Z760" s="6" t="n"/>
      <c r="AA760" s="6" t="n"/>
      <c r="AB760" s="6" t="n"/>
    </row>
    <row r="761" ht="19.5" customHeight="1" s="92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6" t="n"/>
      <c r="P761" s="6" t="n"/>
      <c r="Q761" s="6" t="n"/>
      <c r="R761" s="6" t="n"/>
      <c r="S761" s="6" t="n"/>
      <c r="T761" s="6" t="n"/>
      <c r="U761" s="6" t="n"/>
      <c r="V761" s="6" t="n"/>
      <c r="W761" s="6" t="n"/>
      <c r="X761" s="6" t="n"/>
      <c r="Y761" s="6" t="n"/>
      <c r="Z761" s="6" t="n"/>
      <c r="AA761" s="6" t="n"/>
      <c r="AB761" s="6" t="n"/>
    </row>
    <row r="762" ht="19.5" customHeight="1" s="92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6" t="n"/>
      <c r="P762" s="6" t="n"/>
      <c r="Q762" s="6" t="n"/>
      <c r="R762" s="6" t="n"/>
      <c r="S762" s="6" t="n"/>
      <c r="T762" s="6" t="n"/>
      <c r="U762" s="6" t="n"/>
      <c r="V762" s="6" t="n"/>
      <c r="W762" s="6" t="n"/>
      <c r="X762" s="6" t="n"/>
      <c r="Y762" s="6" t="n"/>
      <c r="Z762" s="6" t="n"/>
      <c r="AA762" s="6" t="n"/>
      <c r="AB762" s="6" t="n"/>
    </row>
    <row r="763" ht="19.5" customHeight="1" s="92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6" t="n"/>
      <c r="P763" s="6" t="n"/>
      <c r="Q763" s="6" t="n"/>
      <c r="R763" s="6" t="n"/>
      <c r="S763" s="6" t="n"/>
      <c r="T763" s="6" t="n"/>
      <c r="U763" s="6" t="n"/>
      <c r="V763" s="6" t="n"/>
      <c r="W763" s="6" t="n"/>
      <c r="X763" s="6" t="n"/>
      <c r="Y763" s="6" t="n"/>
      <c r="Z763" s="6" t="n"/>
      <c r="AA763" s="6" t="n"/>
      <c r="AB763" s="6" t="n"/>
    </row>
    <row r="764" ht="19.5" customHeight="1" s="92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6" t="n"/>
      <c r="P764" s="6" t="n"/>
      <c r="Q764" s="6" t="n"/>
      <c r="R764" s="6" t="n"/>
      <c r="S764" s="6" t="n"/>
      <c r="T764" s="6" t="n"/>
      <c r="U764" s="6" t="n"/>
      <c r="V764" s="6" t="n"/>
      <c r="W764" s="6" t="n"/>
      <c r="X764" s="6" t="n"/>
      <c r="Y764" s="6" t="n"/>
      <c r="Z764" s="6" t="n"/>
      <c r="AA764" s="6" t="n"/>
      <c r="AB764" s="6" t="n"/>
    </row>
    <row r="765" ht="19.5" customHeight="1" s="92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6" t="n"/>
      <c r="P765" s="6" t="n"/>
      <c r="Q765" s="6" t="n"/>
      <c r="R765" s="6" t="n"/>
      <c r="S765" s="6" t="n"/>
      <c r="T765" s="6" t="n"/>
      <c r="U765" s="6" t="n"/>
      <c r="V765" s="6" t="n"/>
      <c r="W765" s="6" t="n"/>
      <c r="X765" s="6" t="n"/>
      <c r="Y765" s="6" t="n"/>
      <c r="Z765" s="6" t="n"/>
      <c r="AA765" s="6" t="n"/>
      <c r="AB765" s="6" t="n"/>
    </row>
    <row r="766" ht="19.5" customHeight="1" s="92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6" t="n"/>
      <c r="P766" s="6" t="n"/>
      <c r="Q766" s="6" t="n"/>
      <c r="R766" s="6" t="n"/>
      <c r="S766" s="6" t="n"/>
      <c r="T766" s="6" t="n"/>
      <c r="U766" s="6" t="n"/>
      <c r="V766" s="6" t="n"/>
      <c r="W766" s="6" t="n"/>
      <c r="X766" s="6" t="n"/>
      <c r="Y766" s="6" t="n"/>
      <c r="Z766" s="6" t="n"/>
      <c r="AA766" s="6" t="n"/>
      <c r="AB766" s="6" t="n"/>
    </row>
    <row r="767" ht="19.5" customHeight="1" s="92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6" t="n"/>
      <c r="P767" s="6" t="n"/>
      <c r="Q767" s="6" t="n"/>
      <c r="R767" s="6" t="n"/>
      <c r="S767" s="6" t="n"/>
      <c r="T767" s="6" t="n"/>
      <c r="U767" s="6" t="n"/>
      <c r="V767" s="6" t="n"/>
      <c r="W767" s="6" t="n"/>
      <c r="X767" s="6" t="n"/>
      <c r="Y767" s="6" t="n"/>
      <c r="Z767" s="6" t="n"/>
      <c r="AA767" s="6" t="n"/>
      <c r="AB767" s="6" t="n"/>
    </row>
    <row r="768" ht="19.5" customHeight="1" s="92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6" t="n"/>
      <c r="P768" s="6" t="n"/>
      <c r="Q768" s="6" t="n"/>
      <c r="R768" s="6" t="n"/>
      <c r="S768" s="6" t="n"/>
      <c r="T768" s="6" t="n"/>
      <c r="U768" s="6" t="n"/>
      <c r="V768" s="6" t="n"/>
      <c r="W768" s="6" t="n"/>
      <c r="X768" s="6" t="n"/>
      <c r="Y768" s="6" t="n"/>
      <c r="Z768" s="6" t="n"/>
      <c r="AA768" s="6" t="n"/>
      <c r="AB768" s="6" t="n"/>
    </row>
    <row r="769" ht="19.5" customHeight="1" s="92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6" t="n"/>
      <c r="P769" s="6" t="n"/>
      <c r="Q769" s="6" t="n"/>
      <c r="R769" s="6" t="n"/>
      <c r="S769" s="6" t="n"/>
      <c r="T769" s="6" t="n"/>
      <c r="U769" s="6" t="n"/>
      <c r="V769" s="6" t="n"/>
      <c r="W769" s="6" t="n"/>
      <c r="X769" s="6" t="n"/>
      <c r="Y769" s="6" t="n"/>
      <c r="Z769" s="6" t="n"/>
      <c r="AA769" s="6" t="n"/>
      <c r="AB769" s="6" t="n"/>
    </row>
    <row r="770" ht="19.5" customHeight="1" s="92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6" t="n"/>
      <c r="P770" s="6" t="n"/>
      <c r="Q770" s="6" t="n"/>
      <c r="R770" s="6" t="n"/>
      <c r="S770" s="6" t="n"/>
      <c r="T770" s="6" t="n"/>
      <c r="U770" s="6" t="n"/>
      <c r="V770" s="6" t="n"/>
      <c r="W770" s="6" t="n"/>
      <c r="X770" s="6" t="n"/>
      <c r="Y770" s="6" t="n"/>
      <c r="Z770" s="6" t="n"/>
      <c r="AA770" s="6" t="n"/>
      <c r="AB770" s="6" t="n"/>
    </row>
    <row r="771" ht="19.5" customHeight="1" s="92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6" t="n"/>
      <c r="P771" s="6" t="n"/>
      <c r="Q771" s="6" t="n"/>
      <c r="R771" s="6" t="n"/>
      <c r="S771" s="6" t="n"/>
      <c r="T771" s="6" t="n"/>
      <c r="U771" s="6" t="n"/>
      <c r="V771" s="6" t="n"/>
      <c r="W771" s="6" t="n"/>
      <c r="X771" s="6" t="n"/>
      <c r="Y771" s="6" t="n"/>
      <c r="Z771" s="6" t="n"/>
      <c r="AA771" s="6" t="n"/>
      <c r="AB771" s="6" t="n"/>
    </row>
    <row r="772" ht="19.5" customHeight="1" s="92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6" t="n"/>
      <c r="P772" s="6" t="n"/>
      <c r="Q772" s="6" t="n"/>
      <c r="R772" s="6" t="n"/>
      <c r="S772" s="6" t="n"/>
      <c r="T772" s="6" t="n"/>
      <c r="U772" s="6" t="n"/>
      <c r="V772" s="6" t="n"/>
      <c r="W772" s="6" t="n"/>
      <c r="X772" s="6" t="n"/>
      <c r="Y772" s="6" t="n"/>
      <c r="Z772" s="6" t="n"/>
      <c r="AA772" s="6" t="n"/>
      <c r="AB772" s="6" t="n"/>
    </row>
    <row r="773" ht="19.5" customHeight="1" s="92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6" t="n"/>
      <c r="P773" s="6" t="n"/>
      <c r="Q773" s="6" t="n"/>
      <c r="R773" s="6" t="n"/>
      <c r="S773" s="6" t="n"/>
      <c r="T773" s="6" t="n"/>
      <c r="U773" s="6" t="n"/>
      <c r="V773" s="6" t="n"/>
      <c r="W773" s="6" t="n"/>
      <c r="X773" s="6" t="n"/>
      <c r="Y773" s="6" t="n"/>
      <c r="Z773" s="6" t="n"/>
      <c r="AA773" s="6" t="n"/>
      <c r="AB773" s="6" t="n"/>
    </row>
    <row r="774" ht="19.5" customHeight="1" s="92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6" t="n"/>
      <c r="P774" s="6" t="n"/>
      <c r="Q774" s="6" t="n"/>
      <c r="R774" s="6" t="n"/>
      <c r="S774" s="6" t="n"/>
      <c r="T774" s="6" t="n"/>
      <c r="U774" s="6" t="n"/>
      <c r="V774" s="6" t="n"/>
      <c r="W774" s="6" t="n"/>
      <c r="X774" s="6" t="n"/>
      <c r="Y774" s="6" t="n"/>
      <c r="Z774" s="6" t="n"/>
      <c r="AA774" s="6" t="n"/>
      <c r="AB774" s="6" t="n"/>
    </row>
    <row r="775" ht="19.5" customHeight="1" s="92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6" t="n"/>
      <c r="P775" s="6" t="n"/>
      <c r="Q775" s="6" t="n"/>
      <c r="R775" s="6" t="n"/>
      <c r="S775" s="6" t="n"/>
      <c r="T775" s="6" t="n"/>
      <c r="U775" s="6" t="n"/>
      <c r="V775" s="6" t="n"/>
      <c r="W775" s="6" t="n"/>
      <c r="X775" s="6" t="n"/>
      <c r="Y775" s="6" t="n"/>
      <c r="Z775" s="6" t="n"/>
      <c r="AA775" s="6" t="n"/>
      <c r="AB775" s="6" t="n"/>
    </row>
    <row r="776" ht="19.5" customHeight="1" s="92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6" t="n"/>
      <c r="P776" s="6" t="n"/>
      <c r="Q776" s="6" t="n"/>
      <c r="R776" s="6" t="n"/>
      <c r="S776" s="6" t="n"/>
      <c r="T776" s="6" t="n"/>
      <c r="U776" s="6" t="n"/>
      <c r="V776" s="6" t="n"/>
      <c r="W776" s="6" t="n"/>
      <c r="X776" s="6" t="n"/>
      <c r="Y776" s="6" t="n"/>
      <c r="Z776" s="6" t="n"/>
      <c r="AA776" s="6" t="n"/>
      <c r="AB776" s="6" t="n"/>
    </row>
    <row r="777" ht="19.5" customHeight="1" s="92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6" t="n"/>
      <c r="P777" s="6" t="n"/>
      <c r="Q777" s="6" t="n"/>
      <c r="R777" s="6" t="n"/>
      <c r="S777" s="6" t="n"/>
      <c r="T777" s="6" t="n"/>
      <c r="U777" s="6" t="n"/>
      <c r="V777" s="6" t="n"/>
      <c r="W777" s="6" t="n"/>
      <c r="X777" s="6" t="n"/>
      <c r="Y777" s="6" t="n"/>
      <c r="Z777" s="6" t="n"/>
      <c r="AA777" s="6" t="n"/>
      <c r="AB777" s="6" t="n"/>
    </row>
    <row r="778" ht="19.5" customHeight="1" s="92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6" t="n"/>
      <c r="P778" s="6" t="n"/>
      <c r="Q778" s="6" t="n"/>
      <c r="R778" s="6" t="n"/>
      <c r="S778" s="6" t="n"/>
      <c r="T778" s="6" t="n"/>
      <c r="U778" s="6" t="n"/>
      <c r="V778" s="6" t="n"/>
      <c r="W778" s="6" t="n"/>
      <c r="X778" s="6" t="n"/>
      <c r="Y778" s="6" t="n"/>
      <c r="Z778" s="6" t="n"/>
      <c r="AA778" s="6" t="n"/>
      <c r="AB778" s="6" t="n"/>
    </row>
    <row r="779" ht="19.5" customHeight="1" s="92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6" t="n"/>
      <c r="P779" s="6" t="n"/>
      <c r="Q779" s="6" t="n"/>
      <c r="R779" s="6" t="n"/>
      <c r="S779" s="6" t="n"/>
      <c r="T779" s="6" t="n"/>
      <c r="U779" s="6" t="n"/>
      <c r="V779" s="6" t="n"/>
      <c r="W779" s="6" t="n"/>
      <c r="X779" s="6" t="n"/>
      <c r="Y779" s="6" t="n"/>
      <c r="Z779" s="6" t="n"/>
      <c r="AA779" s="6" t="n"/>
      <c r="AB779" s="6" t="n"/>
    </row>
    <row r="780" ht="19.5" customHeight="1" s="92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6" t="n"/>
      <c r="P780" s="6" t="n"/>
      <c r="Q780" s="6" t="n"/>
      <c r="R780" s="6" t="n"/>
      <c r="S780" s="6" t="n"/>
      <c r="T780" s="6" t="n"/>
      <c r="U780" s="6" t="n"/>
      <c r="V780" s="6" t="n"/>
      <c r="W780" s="6" t="n"/>
      <c r="X780" s="6" t="n"/>
      <c r="Y780" s="6" t="n"/>
      <c r="Z780" s="6" t="n"/>
      <c r="AA780" s="6" t="n"/>
      <c r="AB780" s="6" t="n"/>
    </row>
    <row r="781" ht="19.5" customHeight="1" s="92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6" t="n"/>
      <c r="P781" s="6" t="n"/>
      <c r="Q781" s="6" t="n"/>
      <c r="R781" s="6" t="n"/>
      <c r="S781" s="6" t="n"/>
      <c r="T781" s="6" t="n"/>
      <c r="U781" s="6" t="n"/>
      <c r="V781" s="6" t="n"/>
      <c r="W781" s="6" t="n"/>
      <c r="X781" s="6" t="n"/>
      <c r="Y781" s="6" t="n"/>
      <c r="Z781" s="6" t="n"/>
      <c r="AA781" s="6" t="n"/>
      <c r="AB781" s="6" t="n"/>
    </row>
    <row r="782" ht="19.5" customHeight="1" s="92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6" t="n"/>
      <c r="P782" s="6" t="n"/>
      <c r="Q782" s="6" t="n"/>
      <c r="R782" s="6" t="n"/>
      <c r="S782" s="6" t="n"/>
      <c r="T782" s="6" t="n"/>
      <c r="U782" s="6" t="n"/>
      <c r="V782" s="6" t="n"/>
      <c r="W782" s="6" t="n"/>
      <c r="X782" s="6" t="n"/>
      <c r="Y782" s="6" t="n"/>
      <c r="Z782" s="6" t="n"/>
      <c r="AA782" s="6" t="n"/>
      <c r="AB782" s="6" t="n"/>
    </row>
    <row r="783" ht="19.5" customHeight="1" s="92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6" t="n"/>
      <c r="P783" s="6" t="n"/>
      <c r="Q783" s="6" t="n"/>
      <c r="R783" s="6" t="n"/>
      <c r="S783" s="6" t="n"/>
      <c r="T783" s="6" t="n"/>
      <c r="U783" s="6" t="n"/>
      <c r="V783" s="6" t="n"/>
      <c r="W783" s="6" t="n"/>
      <c r="X783" s="6" t="n"/>
      <c r="Y783" s="6" t="n"/>
      <c r="Z783" s="6" t="n"/>
      <c r="AA783" s="6" t="n"/>
      <c r="AB783" s="6" t="n"/>
    </row>
    <row r="784" ht="19.5" customHeight="1" s="92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6" t="n"/>
      <c r="P784" s="6" t="n"/>
      <c r="Q784" s="6" t="n"/>
      <c r="R784" s="6" t="n"/>
      <c r="S784" s="6" t="n"/>
      <c r="T784" s="6" t="n"/>
      <c r="U784" s="6" t="n"/>
      <c r="V784" s="6" t="n"/>
      <c r="W784" s="6" t="n"/>
      <c r="X784" s="6" t="n"/>
      <c r="Y784" s="6" t="n"/>
      <c r="Z784" s="6" t="n"/>
      <c r="AA784" s="6" t="n"/>
      <c r="AB784" s="6" t="n"/>
    </row>
    <row r="785" ht="19.5" customHeight="1" s="92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6" t="n"/>
      <c r="P785" s="6" t="n"/>
      <c r="Q785" s="6" t="n"/>
      <c r="R785" s="6" t="n"/>
      <c r="S785" s="6" t="n"/>
      <c r="T785" s="6" t="n"/>
      <c r="U785" s="6" t="n"/>
      <c r="V785" s="6" t="n"/>
      <c r="W785" s="6" t="n"/>
      <c r="X785" s="6" t="n"/>
      <c r="Y785" s="6" t="n"/>
      <c r="Z785" s="6" t="n"/>
      <c r="AA785" s="6" t="n"/>
      <c r="AB785" s="6" t="n"/>
    </row>
    <row r="786" ht="19.5" customHeight="1" s="92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6" t="n"/>
      <c r="P786" s="6" t="n"/>
      <c r="Q786" s="6" t="n"/>
      <c r="R786" s="6" t="n"/>
      <c r="S786" s="6" t="n"/>
      <c r="T786" s="6" t="n"/>
      <c r="U786" s="6" t="n"/>
      <c r="V786" s="6" t="n"/>
      <c r="W786" s="6" t="n"/>
      <c r="X786" s="6" t="n"/>
      <c r="Y786" s="6" t="n"/>
      <c r="Z786" s="6" t="n"/>
      <c r="AA786" s="6" t="n"/>
      <c r="AB786" s="6" t="n"/>
    </row>
    <row r="787" ht="19.5" customHeight="1" s="92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6" t="n"/>
      <c r="P787" s="6" t="n"/>
      <c r="Q787" s="6" t="n"/>
      <c r="R787" s="6" t="n"/>
      <c r="S787" s="6" t="n"/>
      <c r="T787" s="6" t="n"/>
      <c r="U787" s="6" t="n"/>
      <c r="V787" s="6" t="n"/>
      <c r="W787" s="6" t="n"/>
      <c r="X787" s="6" t="n"/>
      <c r="Y787" s="6" t="n"/>
      <c r="Z787" s="6" t="n"/>
      <c r="AA787" s="6" t="n"/>
      <c r="AB787" s="6" t="n"/>
    </row>
    <row r="788" ht="19.5" customHeight="1" s="92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6" t="n"/>
      <c r="P788" s="6" t="n"/>
      <c r="Q788" s="6" t="n"/>
      <c r="R788" s="6" t="n"/>
      <c r="S788" s="6" t="n"/>
      <c r="T788" s="6" t="n"/>
      <c r="U788" s="6" t="n"/>
      <c r="V788" s="6" t="n"/>
      <c r="W788" s="6" t="n"/>
      <c r="X788" s="6" t="n"/>
      <c r="Y788" s="6" t="n"/>
      <c r="Z788" s="6" t="n"/>
      <c r="AA788" s="6" t="n"/>
      <c r="AB788" s="6" t="n"/>
    </row>
    <row r="789" ht="19.5" customHeight="1" s="92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6" t="n"/>
      <c r="P789" s="6" t="n"/>
      <c r="Q789" s="6" t="n"/>
      <c r="R789" s="6" t="n"/>
      <c r="S789" s="6" t="n"/>
      <c r="T789" s="6" t="n"/>
      <c r="U789" s="6" t="n"/>
      <c r="V789" s="6" t="n"/>
      <c r="W789" s="6" t="n"/>
      <c r="X789" s="6" t="n"/>
      <c r="Y789" s="6" t="n"/>
      <c r="Z789" s="6" t="n"/>
      <c r="AA789" s="6" t="n"/>
      <c r="AB789" s="6" t="n"/>
    </row>
    <row r="790" ht="19.5" customHeight="1" s="92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6" t="n"/>
      <c r="P790" s="6" t="n"/>
      <c r="Q790" s="6" t="n"/>
      <c r="R790" s="6" t="n"/>
      <c r="S790" s="6" t="n"/>
      <c r="T790" s="6" t="n"/>
      <c r="U790" s="6" t="n"/>
      <c r="V790" s="6" t="n"/>
      <c r="W790" s="6" t="n"/>
      <c r="X790" s="6" t="n"/>
      <c r="Y790" s="6" t="n"/>
      <c r="Z790" s="6" t="n"/>
      <c r="AA790" s="6" t="n"/>
      <c r="AB790" s="6" t="n"/>
    </row>
    <row r="791" ht="19.5" customHeight="1" s="92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6" t="n"/>
      <c r="P791" s="6" t="n"/>
      <c r="Q791" s="6" t="n"/>
      <c r="R791" s="6" t="n"/>
      <c r="S791" s="6" t="n"/>
      <c r="T791" s="6" t="n"/>
      <c r="U791" s="6" t="n"/>
      <c r="V791" s="6" t="n"/>
      <c r="W791" s="6" t="n"/>
      <c r="X791" s="6" t="n"/>
      <c r="Y791" s="6" t="n"/>
      <c r="Z791" s="6" t="n"/>
      <c r="AA791" s="6" t="n"/>
      <c r="AB791" s="6" t="n"/>
    </row>
    <row r="792" ht="19.5" customHeight="1" s="92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6" t="n"/>
      <c r="P792" s="6" t="n"/>
      <c r="Q792" s="6" t="n"/>
      <c r="R792" s="6" t="n"/>
      <c r="S792" s="6" t="n"/>
      <c r="T792" s="6" t="n"/>
      <c r="U792" s="6" t="n"/>
      <c r="V792" s="6" t="n"/>
      <c r="W792" s="6" t="n"/>
      <c r="X792" s="6" t="n"/>
      <c r="Y792" s="6" t="n"/>
      <c r="Z792" s="6" t="n"/>
      <c r="AA792" s="6" t="n"/>
      <c r="AB792" s="6" t="n"/>
    </row>
    <row r="793" ht="19.5" customHeight="1" s="92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6" t="n"/>
      <c r="P793" s="6" t="n"/>
      <c r="Q793" s="6" t="n"/>
      <c r="R793" s="6" t="n"/>
      <c r="S793" s="6" t="n"/>
      <c r="T793" s="6" t="n"/>
      <c r="U793" s="6" t="n"/>
      <c r="V793" s="6" t="n"/>
      <c r="W793" s="6" t="n"/>
      <c r="X793" s="6" t="n"/>
      <c r="Y793" s="6" t="n"/>
      <c r="Z793" s="6" t="n"/>
      <c r="AA793" s="6" t="n"/>
      <c r="AB793" s="6" t="n"/>
    </row>
    <row r="794" ht="19.5" customHeight="1" s="92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6" t="n"/>
      <c r="P794" s="6" t="n"/>
      <c r="Q794" s="6" t="n"/>
      <c r="R794" s="6" t="n"/>
      <c r="S794" s="6" t="n"/>
      <c r="T794" s="6" t="n"/>
      <c r="U794" s="6" t="n"/>
      <c r="V794" s="6" t="n"/>
      <c r="W794" s="6" t="n"/>
      <c r="X794" s="6" t="n"/>
      <c r="Y794" s="6" t="n"/>
      <c r="Z794" s="6" t="n"/>
      <c r="AA794" s="6" t="n"/>
      <c r="AB794" s="6" t="n"/>
    </row>
    <row r="795" ht="19.5" customHeight="1" s="92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6" t="n"/>
      <c r="P795" s="6" t="n"/>
      <c r="Q795" s="6" t="n"/>
      <c r="R795" s="6" t="n"/>
      <c r="S795" s="6" t="n"/>
      <c r="T795" s="6" t="n"/>
      <c r="U795" s="6" t="n"/>
      <c r="V795" s="6" t="n"/>
      <c r="W795" s="6" t="n"/>
      <c r="X795" s="6" t="n"/>
      <c r="Y795" s="6" t="n"/>
      <c r="Z795" s="6" t="n"/>
      <c r="AA795" s="6" t="n"/>
      <c r="AB795" s="6" t="n"/>
    </row>
    <row r="796" ht="19.5" customHeight="1" s="92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6" t="n"/>
      <c r="P796" s="6" t="n"/>
      <c r="Q796" s="6" t="n"/>
      <c r="R796" s="6" t="n"/>
      <c r="S796" s="6" t="n"/>
      <c r="T796" s="6" t="n"/>
      <c r="U796" s="6" t="n"/>
      <c r="V796" s="6" t="n"/>
      <c r="W796" s="6" t="n"/>
      <c r="X796" s="6" t="n"/>
      <c r="Y796" s="6" t="n"/>
      <c r="Z796" s="6" t="n"/>
      <c r="AA796" s="6" t="n"/>
      <c r="AB796" s="6" t="n"/>
    </row>
    <row r="797" ht="19.5" customHeight="1" s="92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6" t="n"/>
      <c r="P797" s="6" t="n"/>
      <c r="Q797" s="6" t="n"/>
      <c r="R797" s="6" t="n"/>
      <c r="S797" s="6" t="n"/>
      <c r="T797" s="6" t="n"/>
      <c r="U797" s="6" t="n"/>
      <c r="V797" s="6" t="n"/>
      <c r="W797" s="6" t="n"/>
      <c r="X797" s="6" t="n"/>
      <c r="Y797" s="6" t="n"/>
      <c r="Z797" s="6" t="n"/>
      <c r="AA797" s="6" t="n"/>
      <c r="AB797" s="6" t="n"/>
    </row>
    <row r="798" ht="19.5" customHeight="1" s="92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6" t="n"/>
      <c r="P798" s="6" t="n"/>
      <c r="Q798" s="6" t="n"/>
      <c r="R798" s="6" t="n"/>
      <c r="S798" s="6" t="n"/>
      <c r="T798" s="6" t="n"/>
      <c r="U798" s="6" t="n"/>
      <c r="V798" s="6" t="n"/>
      <c r="W798" s="6" t="n"/>
      <c r="X798" s="6" t="n"/>
      <c r="Y798" s="6" t="n"/>
      <c r="Z798" s="6" t="n"/>
      <c r="AA798" s="6" t="n"/>
      <c r="AB798" s="6" t="n"/>
    </row>
    <row r="799" ht="19.5" customHeight="1" s="92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6" t="n"/>
      <c r="P799" s="6" t="n"/>
      <c r="Q799" s="6" t="n"/>
      <c r="R799" s="6" t="n"/>
      <c r="S799" s="6" t="n"/>
      <c r="T799" s="6" t="n"/>
      <c r="U799" s="6" t="n"/>
      <c r="V799" s="6" t="n"/>
      <c r="W799" s="6" t="n"/>
      <c r="X799" s="6" t="n"/>
      <c r="Y799" s="6" t="n"/>
      <c r="Z799" s="6" t="n"/>
      <c r="AA799" s="6" t="n"/>
      <c r="AB799" s="6" t="n"/>
    </row>
    <row r="800" ht="19.5" customHeight="1" s="92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6" t="n"/>
      <c r="P800" s="6" t="n"/>
      <c r="Q800" s="6" t="n"/>
      <c r="R800" s="6" t="n"/>
      <c r="S800" s="6" t="n"/>
      <c r="T800" s="6" t="n"/>
      <c r="U800" s="6" t="n"/>
      <c r="V800" s="6" t="n"/>
      <c r="W800" s="6" t="n"/>
      <c r="X800" s="6" t="n"/>
      <c r="Y800" s="6" t="n"/>
      <c r="Z800" s="6" t="n"/>
      <c r="AA800" s="6" t="n"/>
      <c r="AB800" s="6" t="n"/>
    </row>
    <row r="801" ht="19.5" customHeight="1" s="92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6" t="n"/>
      <c r="P801" s="6" t="n"/>
      <c r="Q801" s="6" t="n"/>
      <c r="R801" s="6" t="n"/>
      <c r="S801" s="6" t="n"/>
      <c r="T801" s="6" t="n"/>
      <c r="U801" s="6" t="n"/>
      <c r="V801" s="6" t="n"/>
      <c r="W801" s="6" t="n"/>
      <c r="X801" s="6" t="n"/>
      <c r="Y801" s="6" t="n"/>
      <c r="Z801" s="6" t="n"/>
      <c r="AA801" s="6" t="n"/>
      <c r="AB801" s="6" t="n"/>
    </row>
    <row r="802" ht="19.5" customHeight="1" s="92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6" t="n"/>
      <c r="P802" s="6" t="n"/>
      <c r="Q802" s="6" t="n"/>
      <c r="R802" s="6" t="n"/>
      <c r="S802" s="6" t="n"/>
      <c r="T802" s="6" t="n"/>
      <c r="U802" s="6" t="n"/>
      <c r="V802" s="6" t="n"/>
      <c r="W802" s="6" t="n"/>
      <c r="X802" s="6" t="n"/>
      <c r="Y802" s="6" t="n"/>
      <c r="Z802" s="6" t="n"/>
      <c r="AA802" s="6" t="n"/>
      <c r="AB802" s="6" t="n"/>
    </row>
    <row r="803" ht="19.5" customHeight="1" s="92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6" t="n"/>
      <c r="P803" s="6" t="n"/>
      <c r="Q803" s="6" t="n"/>
      <c r="R803" s="6" t="n"/>
      <c r="S803" s="6" t="n"/>
      <c r="T803" s="6" t="n"/>
      <c r="U803" s="6" t="n"/>
      <c r="V803" s="6" t="n"/>
      <c r="W803" s="6" t="n"/>
      <c r="X803" s="6" t="n"/>
      <c r="Y803" s="6" t="n"/>
      <c r="Z803" s="6" t="n"/>
      <c r="AA803" s="6" t="n"/>
      <c r="AB803" s="6" t="n"/>
    </row>
    <row r="804" ht="19.5" customHeight="1" s="92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6" t="n"/>
      <c r="P804" s="6" t="n"/>
      <c r="Q804" s="6" t="n"/>
      <c r="R804" s="6" t="n"/>
      <c r="S804" s="6" t="n"/>
      <c r="T804" s="6" t="n"/>
      <c r="U804" s="6" t="n"/>
      <c r="V804" s="6" t="n"/>
      <c r="W804" s="6" t="n"/>
      <c r="X804" s="6" t="n"/>
      <c r="Y804" s="6" t="n"/>
      <c r="Z804" s="6" t="n"/>
      <c r="AA804" s="6" t="n"/>
      <c r="AB804" s="6" t="n"/>
    </row>
    <row r="805" ht="19.5" customHeight="1" s="92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6" t="n"/>
      <c r="P805" s="6" t="n"/>
      <c r="Q805" s="6" t="n"/>
      <c r="R805" s="6" t="n"/>
      <c r="S805" s="6" t="n"/>
      <c r="T805" s="6" t="n"/>
      <c r="U805" s="6" t="n"/>
      <c r="V805" s="6" t="n"/>
      <c r="W805" s="6" t="n"/>
      <c r="X805" s="6" t="n"/>
      <c r="Y805" s="6" t="n"/>
      <c r="Z805" s="6" t="n"/>
      <c r="AA805" s="6" t="n"/>
      <c r="AB805" s="6" t="n"/>
    </row>
    <row r="806" ht="19.5" customHeight="1" s="92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6" t="n"/>
      <c r="P806" s="6" t="n"/>
      <c r="Q806" s="6" t="n"/>
      <c r="R806" s="6" t="n"/>
      <c r="S806" s="6" t="n"/>
      <c r="T806" s="6" t="n"/>
      <c r="U806" s="6" t="n"/>
      <c r="V806" s="6" t="n"/>
      <c r="W806" s="6" t="n"/>
      <c r="X806" s="6" t="n"/>
      <c r="Y806" s="6" t="n"/>
      <c r="Z806" s="6" t="n"/>
      <c r="AA806" s="6" t="n"/>
      <c r="AB806" s="6" t="n"/>
    </row>
    <row r="807" ht="19.5" customHeight="1" s="92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6" t="n"/>
      <c r="P807" s="6" t="n"/>
      <c r="Q807" s="6" t="n"/>
      <c r="R807" s="6" t="n"/>
      <c r="S807" s="6" t="n"/>
      <c r="T807" s="6" t="n"/>
      <c r="U807" s="6" t="n"/>
      <c r="V807" s="6" t="n"/>
      <c r="W807" s="6" t="n"/>
      <c r="X807" s="6" t="n"/>
      <c r="Y807" s="6" t="n"/>
      <c r="Z807" s="6" t="n"/>
      <c r="AA807" s="6" t="n"/>
      <c r="AB807" s="6" t="n"/>
    </row>
    <row r="808" ht="19.5" customHeight="1" s="92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6" t="n"/>
      <c r="P808" s="6" t="n"/>
      <c r="Q808" s="6" t="n"/>
      <c r="R808" s="6" t="n"/>
      <c r="S808" s="6" t="n"/>
      <c r="T808" s="6" t="n"/>
      <c r="U808" s="6" t="n"/>
      <c r="V808" s="6" t="n"/>
      <c r="W808" s="6" t="n"/>
      <c r="X808" s="6" t="n"/>
      <c r="Y808" s="6" t="n"/>
      <c r="Z808" s="6" t="n"/>
      <c r="AA808" s="6" t="n"/>
      <c r="AB808" s="6" t="n"/>
    </row>
    <row r="809" ht="19.5" customHeight="1" s="92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6" t="n"/>
      <c r="P809" s="6" t="n"/>
      <c r="Q809" s="6" t="n"/>
      <c r="R809" s="6" t="n"/>
      <c r="S809" s="6" t="n"/>
      <c r="T809" s="6" t="n"/>
      <c r="U809" s="6" t="n"/>
      <c r="V809" s="6" t="n"/>
      <c r="W809" s="6" t="n"/>
      <c r="X809" s="6" t="n"/>
      <c r="Y809" s="6" t="n"/>
      <c r="Z809" s="6" t="n"/>
      <c r="AA809" s="6" t="n"/>
      <c r="AB809" s="6" t="n"/>
    </row>
    <row r="810" ht="19.5" customHeight="1" s="92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6" t="n"/>
      <c r="P810" s="6" t="n"/>
      <c r="Q810" s="6" t="n"/>
      <c r="R810" s="6" t="n"/>
      <c r="S810" s="6" t="n"/>
      <c r="T810" s="6" t="n"/>
      <c r="U810" s="6" t="n"/>
      <c r="V810" s="6" t="n"/>
      <c r="W810" s="6" t="n"/>
      <c r="X810" s="6" t="n"/>
      <c r="Y810" s="6" t="n"/>
      <c r="Z810" s="6" t="n"/>
      <c r="AA810" s="6" t="n"/>
      <c r="AB810" s="6" t="n"/>
    </row>
    <row r="811" ht="19.5" customHeight="1" s="92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6" t="n"/>
      <c r="P811" s="6" t="n"/>
      <c r="Q811" s="6" t="n"/>
      <c r="R811" s="6" t="n"/>
      <c r="S811" s="6" t="n"/>
      <c r="T811" s="6" t="n"/>
      <c r="U811" s="6" t="n"/>
      <c r="V811" s="6" t="n"/>
      <c r="W811" s="6" t="n"/>
      <c r="X811" s="6" t="n"/>
      <c r="Y811" s="6" t="n"/>
      <c r="Z811" s="6" t="n"/>
      <c r="AA811" s="6" t="n"/>
      <c r="AB811" s="6" t="n"/>
    </row>
    <row r="812" ht="19.5" customHeight="1" s="92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6" t="n"/>
      <c r="P812" s="6" t="n"/>
      <c r="Q812" s="6" t="n"/>
      <c r="R812" s="6" t="n"/>
      <c r="S812" s="6" t="n"/>
      <c r="T812" s="6" t="n"/>
      <c r="U812" s="6" t="n"/>
      <c r="V812" s="6" t="n"/>
      <c r="W812" s="6" t="n"/>
      <c r="X812" s="6" t="n"/>
      <c r="Y812" s="6" t="n"/>
      <c r="Z812" s="6" t="n"/>
      <c r="AA812" s="6" t="n"/>
      <c r="AB812" s="6" t="n"/>
    </row>
    <row r="813" ht="19.5" customHeight="1" s="92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6" t="n"/>
      <c r="P813" s="6" t="n"/>
      <c r="Q813" s="6" t="n"/>
      <c r="R813" s="6" t="n"/>
      <c r="S813" s="6" t="n"/>
      <c r="T813" s="6" t="n"/>
      <c r="U813" s="6" t="n"/>
      <c r="V813" s="6" t="n"/>
      <c r="W813" s="6" t="n"/>
      <c r="X813" s="6" t="n"/>
      <c r="Y813" s="6" t="n"/>
      <c r="Z813" s="6" t="n"/>
      <c r="AA813" s="6" t="n"/>
      <c r="AB813" s="6" t="n"/>
    </row>
    <row r="814" ht="19.5" customHeight="1" s="92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6" t="n"/>
      <c r="P814" s="6" t="n"/>
      <c r="Q814" s="6" t="n"/>
      <c r="R814" s="6" t="n"/>
      <c r="S814" s="6" t="n"/>
      <c r="T814" s="6" t="n"/>
      <c r="U814" s="6" t="n"/>
      <c r="V814" s="6" t="n"/>
      <c r="W814" s="6" t="n"/>
      <c r="X814" s="6" t="n"/>
      <c r="Y814" s="6" t="n"/>
      <c r="Z814" s="6" t="n"/>
      <c r="AA814" s="6" t="n"/>
      <c r="AB814" s="6" t="n"/>
    </row>
    <row r="815" ht="19.5" customHeight="1" s="92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6" t="n"/>
      <c r="P815" s="6" t="n"/>
      <c r="Q815" s="6" t="n"/>
      <c r="R815" s="6" t="n"/>
      <c r="S815" s="6" t="n"/>
      <c r="T815" s="6" t="n"/>
      <c r="U815" s="6" t="n"/>
      <c r="V815" s="6" t="n"/>
      <c r="W815" s="6" t="n"/>
      <c r="X815" s="6" t="n"/>
      <c r="Y815" s="6" t="n"/>
      <c r="Z815" s="6" t="n"/>
      <c r="AA815" s="6" t="n"/>
      <c r="AB815" s="6" t="n"/>
    </row>
    <row r="816" ht="19.5" customHeight="1" s="92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6" t="n"/>
      <c r="P816" s="6" t="n"/>
      <c r="Q816" s="6" t="n"/>
      <c r="R816" s="6" t="n"/>
      <c r="S816" s="6" t="n"/>
      <c r="T816" s="6" t="n"/>
      <c r="U816" s="6" t="n"/>
      <c r="V816" s="6" t="n"/>
      <c r="W816" s="6" t="n"/>
      <c r="X816" s="6" t="n"/>
      <c r="Y816" s="6" t="n"/>
      <c r="Z816" s="6" t="n"/>
      <c r="AA816" s="6" t="n"/>
      <c r="AB816" s="6" t="n"/>
    </row>
    <row r="817" ht="19.5" customHeight="1" s="92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6" t="n"/>
      <c r="P817" s="6" t="n"/>
      <c r="Q817" s="6" t="n"/>
      <c r="R817" s="6" t="n"/>
      <c r="S817" s="6" t="n"/>
      <c r="T817" s="6" t="n"/>
      <c r="U817" s="6" t="n"/>
      <c r="V817" s="6" t="n"/>
      <c r="W817" s="6" t="n"/>
      <c r="X817" s="6" t="n"/>
      <c r="Y817" s="6" t="n"/>
      <c r="Z817" s="6" t="n"/>
      <c r="AA817" s="6" t="n"/>
      <c r="AB817" s="6" t="n"/>
    </row>
    <row r="818" ht="19.5" customHeight="1" s="92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6" t="n"/>
      <c r="P818" s="6" t="n"/>
      <c r="Q818" s="6" t="n"/>
      <c r="R818" s="6" t="n"/>
      <c r="S818" s="6" t="n"/>
      <c r="T818" s="6" t="n"/>
      <c r="U818" s="6" t="n"/>
      <c r="V818" s="6" t="n"/>
      <c r="W818" s="6" t="n"/>
      <c r="X818" s="6" t="n"/>
      <c r="Y818" s="6" t="n"/>
      <c r="Z818" s="6" t="n"/>
      <c r="AA818" s="6" t="n"/>
      <c r="AB818" s="6" t="n"/>
    </row>
    <row r="819" ht="19.5" customHeight="1" s="92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6" t="n"/>
      <c r="P819" s="6" t="n"/>
      <c r="Q819" s="6" t="n"/>
      <c r="R819" s="6" t="n"/>
      <c r="S819" s="6" t="n"/>
      <c r="T819" s="6" t="n"/>
      <c r="U819" s="6" t="n"/>
      <c r="V819" s="6" t="n"/>
      <c r="W819" s="6" t="n"/>
      <c r="X819" s="6" t="n"/>
      <c r="Y819" s="6" t="n"/>
      <c r="Z819" s="6" t="n"/>
      <c r="AA819" s="6" t="n"/>
      <c r="AB819" s="6" t="n"/>
    </row>
    <row r="820" ht="19.5" customHeight="1" s="92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6" t="n"/>
      <c r="P820" s="6" t="n"/>
      <c r="Q820" s="6" t="n"/>
      <c r="R820" s="6" t="n"/>
      <c r="S820" s="6" t="n"/>
      <c r="T820" s="6" t="n"/>
      <c r="U820" s="6" t="n"/>
      <c r="V820" s="6" t="n"/>
      <c r="W820" s="6" t="n"/>
      <c r="X820" s="6" t="n"/>
      <c r="Y820" s="6" t="n"/>
      <c r="Z820" s="6" t="n"/>
      <c r="AA820" s="6" t="n"/>
      <c r="AB820" s="6" t="n"/>
    </row>
    <row r="821" ht="19.5" customHeight="1" s="92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6" t="n"/>
      <c r="P821" s="6" t="n"/>
      <c r="Q821" s="6" t="n"/>
      <c r="R821" s="6" t="n"/>
      <c r="S821" s="6" t="n"/>
      <c r="T821" s="6" t="n"/>
      <c r="U821" s="6" t="n"/>
      <c r="V821" s="6" t="n"/>
      <c r="W821" s="6" t="n"/>
      <c r="X821" s="6" t="n"/>
      <c r="Y821" s="6" t="n"/>
      <c r="Z821" s="6" t="n"/>
      <c r="AA821" s="6" t="n"/>
      <c r="AB821" s="6" t="n"/>
    </row>
    <row r="822" ht="19.5" customHeight="1" s="92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6" t="n"/>
      <c r="P822" s="6" t="n"/>
      <c r="Q822" s="6" t="n"/>
      <c r="R822" s="6" t="n"/>
      <c r="S822" s="6" t="n"/>
      <c r="T822" s="6" t="n"/>
      <c r="U822" s="6" t="n"/>
      <c r="V822" s="6" t="n"/>
      <c r="W822" s="6" t="n"/>
      <c r="X822" s="6" t="n"/>
      <c r="Y822" s="6" t="n"/>
      <c r="Z822" s="6" t="n"/>
      <c r="AA822" s="6" t="n"/>
      <c r="AB822" s="6" t="n"/>
    </row>
    <row r="823" ht="19.5" customHeight="1" s="92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6" t="n"/>
      <c r="P823" s="6" t="n"/>
      <c r="Q823" s="6" t="n"/>
      <c r="R823" s="6" t="n"/>
      <c r="S823" s="6" t="n"/>
      <c r="T823" s="6" t="n"/>
      <c r="U823" s="6" t="n"/>
      <c r="V823" s="6" t="n"/>
      <c r="W823" s="6" t="n"/>
      <c r="X823" s="6" t="n"/>
      <c r="Y823" s="6" t="n"/>
      <c r="Z823" s="6" t="n"/>
      <c r="AA823" s="6" t="n"/>
      <c r="AB823" s="6" t="n"/>
    </row>
    <row r="824" ht="19.5" customHeight="1" s="92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6" t="n"/>
      <c r="P824" s="6" t="n"/>
      <c r="Q824" s="6" t="n"/>
      <c r="R824" s="6" t="n"/>
      <c r="S824" s="6" t="n"/>
      <c r="T824" s="6" t="n"/>
      <c r="U824" s="6" t="n"/>
      <c r="V824" s="6" t="n"/>
      <c r="W824" s="6" t="n"/>
      <c r="X824" s="6" t="n"/>
      <c r="Y824" s="6" t="n"/>
      <c r="Z824" s="6" t="n"/>
      <c r="AA824" s="6" t="n"/>
      <c r="AB824" s="6" t="n"/>
    </row>
    <row r="825" ht="19.5" customHeight="1" s="92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6" t="n"/>
      <c r="P825" s="6" t="n"/>
      <c r="Q825" s="6" t="n"/>
      <c r="R825" s="6" t="n"/>
      <c r="S825" s="6" t="n"/>
      <c r="T825" s="6" t="n"/>
      <c r="U825" s="6" t="n"/>
      <c r="V825" s="6" t="n"/>
      <c r="W825" s="6" t="n"/>
      <c r="X825" s="6" t="n"/>
      <c r="Y825" s="6" t="n"/>
      <c r="Z825" s="6" t="n"/>
      <c r="AA825" s="6" t="n"/>
      <c r="AB825" s="6" t="n"/>
    </row>
    <row r="826" ht="19.5" customHeight="1" s="92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6" t="n"/>
      <c r="P826" s="6" t="n"/>
      <c r="Q826" s="6" t="n"/>
      <c r="R826" s="6" t="n"/>
      <c r="S826" s="6" t="n"/>
      <c r="T826" s="6" t="n"/>
      <c r="U826" s="6" t="n"/>
      <c r="V826" s="6" t="n"/>
      <c r="W826" s="6" t="n"/>
      <c r="X826" s="6" t="n"/>
      <c r="Y826" s="6" t="n"/>
      <c r="Z826" s="6" t="n"/>
      <c r="AA826" s="6" t="n"/>
      <c r="AB826" s="6" t="n"/>
    </row>
    <row r="827" ht="19.5" customHeight="1" s="92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6" t="n"/>
      <c r="P827" s="6" t="n"/>
      <c r="Q827" s="6" t="n"/>
      <c r="R827" s="6" t="n"/>
      <c r="S827" s="6" t="n"/>
      <c r="T827" s="6" t="n"/>
      <c r="U827" s="6" t="n"/>
      <c r="V827" s="6" t="n"/>
      <c r="W827" s="6" t="n"/>
      <c r="X827" s="6" t="n"/>
      <c r="Y827" s="6" t="n"/>
      <c r="Z827" s="6" t="n"/>
      <c r="AA827" s="6" t="n"/>
      <c r="AB827" s="6" t="n"/>
    </row>
    <row r="828" ht="19.5" customHeight="1" s="92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6" t="n"/>
      <c r="P828" s="6" t="n"/>
      <c r="Q828" s="6" t="n"/>
      <c r="R828" s="6" t="n"/>
      <c r="S828" s="6" t="n"/>
      <c r="T828" s="6" t="n"/>
      <c r="U828" s="6" t="n"/>
      <c r="V828" s="6" t="n"/>
      <c r="W828" s="6" t="n"/>
      <c r="X828" s="6" t="n"/>
      <c r="Y828" s="6" t="n"/>
      <c r="Z828" s="6" t="n"/>
      <c r="AA828" s="6" t="n"/>
      <c r="AB828" s="6" t="n"/>
    </row>
    <row r="829" ht="19.5" customHeight="1" s="92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6" t="n"/>
      <c r="P829" s="6" t="n"/>
      <c r="Q829" s="6" t="n"/>
      <c r="R829" s="6" t="n"/>
      <c r="S829" s="6" t="n"/>
      <c r="T829" s="6" t="n"/>
      <c r="U829" s="6" t="n"/>
      <c r="V829" s="6" t="n"/>
      <c r="W829" s="6" t="n"/>
      <c r="X829" s="6" t="n"/>
      <c r="Y829" s="6" t="n"/>
      <c r="Z829" s="6" t="n"/>
      <c r="AA829" s="6" t="n"/>
      <c r="AB829" s="6" t="n"/>
    </row>
    <row r="830" ht="19.5" customHeight="1" s="92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6" t="n"/>
      <c r="P830" s="6" t="n"/>
      <c r="Q830" s="6" t="n"/>
      <c r="R830" s="6" t="n"/>
      <c r="S830" s="6" t="n"/>
      <c r="T830" s="6" t="n"/>
      <c r="U830" s="6" t="n"/>
      <c r="V830" s="6" t="n"/>
      <c r="W830" s="6" t="n"/>
      <c r="X830" s="6" t="n"/>
      <c r="Y830" s="6" t="n"/>
      <c r="Z830" s="6" t="n"/>
      <c r="AA830" s="6" t="n"/>
      <c r="AB830" s="6" t="n"/>
    </row>
    <row r="831" ht="19.5" customHeight="1" s="92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6" t="n"/>
      <c r="P831" s="6" t="n"/>
      <c r="Q831" s="6" t="n"/>
      <c r="R831" s="6" t="n"/>
      <c r="S831" s="6" t="n"/>
      <c r="T831" s="6" t="n"/>
      <c r="U831" s="6" t="n"/>
      <c r="V831" s="6" t="n"/>
      <c r="W831" s="6" t="n"/>
      <c r="X831" s="6" t="n"/>
      <c r="Y831" s="6" t="n"/>
      <c r="Z831" s="6" t="n"/>
      <c r="AA831" s="6" t="n"/>
      <c r="AB831" s="6" t="n"/>
    </row>
    <row r="832" ht="19.5" customHeight="1" s="92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6" t="n"/>
      <c r="P832" s="6" t="n"/>
      <c r="Q832" s="6" t="n"/>
      <c r="R832" s="6" t="n"/>
      <c r="S832" s="6" t="n"/>
      <c r="T832" s="6" t="n"/>
      <c r="U832" s="6" t="n"/>
      <c r="V832" s="6" t="n"/>
      <c r="W832" s="6" t="n"/>
      <c r="X832" s="6" t="n"/>
      <c r="Y832" s="6" t="n"/>
      <c r="Z832" s="6" t="n"/>
      <c r="AA832" s="6" t="n"/>
      <c r="AB832" s="6" t="n"/>
    </row>
    <row r="833" ht="19.5" customHeight="1" s="92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6" t="n"/>
      <c r="P833" s="6" t="n"/>
      <c r="Q833" s="6" t="n"/>
      <c r="R833" s="6" t="n"/>
      <c r="S833" s="6" t="n"/>
      <c r="T833" s="6" t="n"/>
      <c r="U833" s="6" t="n"/>
      <c r="V833" s="6" t="n"/>
      <c r="W833" s="6" t="n"/>
      <c r="X833" s="6" t="n"/>
      <c r="Y833" s="6" t="n"/>
      <c r="Z833" s="6" t="n"/>
      <c r="AA833" s="6" t="n"/>
      <c r="AB833" s="6" t="n"/>
    </row>
    <row r="834" ht="19.5" customHeight="1" s="92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6" t="n"/>
      <c r="P834" s="6" t="n"/>
      <c r="Q834" s="6" t="n"/>
      <c r="R834" s="6" t="n"/>
      <c r="S834" s="6" t="n"/>
      <c r="T834" s="6" t="n"/>
      <c r="U834" s="6" t="n"/>
      <c r="V834" s="6" t="n"/>
      <c r="W834" s="6" t="n"/>
      <c r="X834" s="6" t="n"/>
      <c r="Y834" s="6" t="n"/>
      <c r="Z834" s="6" t="n"/>
      <c r="AA834" s="6" t="n"/>
      <c r="AB834" s="6" t="n"/>
    </row>
    <row r="835" ht="19.5" customHeight="1" s="92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6" t="n"/>
      <c r="P835" s="6" t="n"/>
      <c r="Q835" s="6" t="n"/>
      <c r="R835" s="6" t="n"/>
      <c r="S835" s="6" t="n"/>
      <c r="T835" s="6" t="n"/>
      <c r="U835" s="6" t="n"/>
      <c r="V835" s="6" t="n"/>
      <c r="W835" s="6" t="n"/>
      <c r="X835" s="6" t="n"/>
      <c r="Y835" s="6" t="n"/>
      <c r="Z835" s="6" t="n"/>
      <c r="AA835" s="6" t="n"/>
      <c r="AB835" s="6" t="n"/>
    </row>
    <row r="836" ht="19.5" customHeight="1" s="92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6" t="n"/>
      <c r="P836" s="6" t="n"/>
      <c r="Q836" s="6" t="n"/>
      <c r="R836" s="6" t="n"/>
      <c r="S836" s="6" t="n"/>
      <c r="T836" s="6" t="n"/>
      <c r="U836" s="6" t="n"/>
      <c r="V836" s="6" t="n"/>
      <c r="W836" s="6" t="n"/>
      <c r="X836" s="6" t="n"/>
      <c r="Y836" s="6" t="n"/>
      <c r="Z836" s="6" t="n"/>
      <c r="AA836" s="6" t="n"/>
      <c r="AB836" s="6" t="n"/>
    </row>
    <row r="837" ht="19.5" customHeight="1" s="92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6" t="n"/>
      <c r="P837" s="6" t="n"/>
      <c r="Q837" s="6" t="n"/>
      <c r="R837" s="6" t="n"/>
      <c r="S837" s="6" t="n"/>
      <c r="T837" s="6" t="n"/>
      <c r="U837" s="6" t="n"/>
      <c r="V837" s="6" t="n"/>
      <c r="W837" s="6" t="n"/>
      <c r="X837" s="6" t="n"/>
      <c r="Y837" s="6" t="n"/>
      <c r="Z837" s="6" t="n"/>
      <c r="AA837" s="6" t="n"/>
      <c r="AB837" s="6" t="n"/>
    </row>
    <row r="838" ht="19.5" customHeight="1" s="92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6" t="n"/>
      <c r="P838" s="6" t="n"/>
      <c r="Q838" s="6" t="n"/>
      <c r="R838" s="6" t="n"/>
      <c r="S838" s="6" t="n"/>
      <c r="T838" s="6" t="n"/>
      <c r="U838" s="6" t="n"/>
      <c r="V838" s="6" t="n"/>
      <c r="W838" s="6" t="n"/>
      <c r="X838" s="6" t="n"/>
      <c r="Y838" s="6" t="n"/>
      <c r="Z838" s="6" t="n"/>
      <c r="AA838" s="6" t="n"/>
      <c r="AB838" s="6" t="n"/>
    </row>
    <row r="839" ht="19.5" customHeight="1" s="92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6" t="n"/>
      <c r="P839" s="6" t="n"/>
      <c r="Q839" s="6" t="n"/>
      <c r="R839" s="6" t="n"/>
      <c r="S839" s="6" t="n"/>
      <c r="T839" s="6" t="n"/>
      <c r="U839" s="6" t="n"/>
      <c r="V839" s="6" t="n"/>
      <c r="W839" s="6" t="n"/>
      <c r="X839" s="6" t="n"/>
      <c r="Y839" s="6" t="n"/>
      <c r="Z839" s="6" t="n"/>
      <c r="AA839" s="6" t="n"/>
      <c r="AB839" s="6" t="n"/>
    </row>
    <row r="840" ht="19.5" customHeight="1" s="92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6" t="n"/>
      <c r="P840" s="6" t="n"/>
      <c r="Q840" s="6" t="n"/>
      <c r="R840" s="6" t="n"/>
      <c r="S840" s="6" t="n"/>
      <c r="T840" s="6" t="n"/>
      <c r="U840" s="6" t="n"/>
      <c r="V840" s="6" t="n"/>
      <c r="W840" s="6" t="n"/>
      <c r="X840" s="6" t="n"/>
      <c r="Y840" s="6" t="n"/>
      <c r="Z840" s="6" t="n"/>
      <c r="AA840" s="6" t="n"/>
      <c r="AB840" s="6" t="n"/>
    </row>
    <row r="841" ht="19.5" customHeight="1" s="92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6" t="n"/>
      <c r="P841" s="6" t="n"/>
      <c r="Q841" s="6" t="n"/>
      <c r="R841" s="6" t="n"/>
      <c r="S841" s="6" t="n"/>
      <c r="T841" s="6" t="n"/>
      <c r="U841" s="6" t="n"/>
      <c r="V841" s="6" t="n"/>
      <c r="W841" s="6" t="n"/>
      <c r="X841" s="6" t="n"/>
      <c r="Y841" s="6" t="n"/>
      <c r="Z841" s="6" t="n"/>
      <c r="AA841" s="6" t="n"/>
      <c r="AB841" s="6" t="n"/>
    </row>
    <row r="842" ht="19.5" customHeight="1" s="92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6" t="n"/>
      <c r="P842" s="6" t="n"/>
      <c r="Q842" s="6" t="n"/>
      <c r="R842" s="6" t="n"/>
      <c r="S842" s="6" t="n"/>
      <c r="T842" s="6" t="n"/>
      <c r="U842" s="6" t="n"/>
      <c r="V842" s="6" t="n"/>
      <c r="W842" s="6" t="n"/>
      <c r="X842" s="6" t="n"/>
      <c r="Y842" s="6" t="n"/>
      <c r="Z842" s="6" t="n"/>
      <c r="AA842" s="6" t="n"/>
      <c r="AB842" s="6" t="n"/>
    </row>
    <row r="843" ht="19.5" customHeight="1" s="92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6" t="n"/>
      <c r="P843" s="6" t="n"/>
      <c r="Q843" s="6" t="n"/>
      <c r="R843" s="6" t="n"/>
      <c r="S843" s="6" t="n"/>
      <c r="T843" s="6" t="n"/>
      <c r="U843" s="6" t="n"/>
      <c r="V843" s="6" t="n"/>
      <c r="W843" s="6" t="n"/>
      <c r="X843" s="6" t="n"/>
      <c r="Y843" s="6" t="n"/>
      <c r="Z843" s="6" t="n"/>
      <c r="AA843" s="6" t="n"/>
      <c r="AB843" s="6" t="n"/>
    </row>
    <row r="844" ht="19.5" customHeight="1" s="92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6" t="n"/>
      <c r="P844" s="6" t="n"/>
      <c r="Q844" s="6" t="n"/>
      <c r="R844" s="6" t="n"/>
      <c r="S844" s="6" t="n"/>
      <c r="T844" s="6" t="n"/>
      <c r="U844" s="6" t="n"/>
      <c r="V844" s="6" t="n"/>
      <c r="W844" s="6" t="n"/>
      <c r="X844" s="6" t="n"/>
      <c r="Y844" s="6" t="n"/>
      <c r="Z844" s="6" t="n"/>
      <c r="AA844" s="6" t="n"/>
      <c r="AB844" s="6" t="n"/>
    </row>
    <row r="845" ht="19.5" customHeight="1" s="92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6" t="n"/>
      <c r="P845" s="6" t="n"/>
      <c r="Q845" s="6" t="n"/>
      <c r="R845" s="6" t="n"/>
      <c r="S845" s="6" t="n"/>
      <c r="T845" s="6" t="n"/>
      <c r="U845" s="6" t="n"/>
      <c r="V845" s="6" t="n"/>
      <c r="W845" s="6" t="n"/>
      <c r="X845" s="6" t="n"/>
      <c r="Y845" s="6" t="n"/>
      <c r="Z845" s="6" t="n"/>
      <c r="AA845" s="6" t="n"/>
      <c r="AB845" s="6" t="n"/>
    </row>
    <row r="846" ht="19.5" customHeight="1" s="92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6" t="n"/>
      <c r="P846" s="6" t="n"/>
      <c r="Q846" s="6" t="n"/>
      <c r="R846" s="6" t="n"/>
      <c r="S846" s="6" t="n"/>
      <c r="T846" s="6" t="n"/>
      <c r="U846" s="6" t="n"/>
      <c r="V846" s="6" t="n"/>
      <c r="W846" s="6" t="n"/>
      <c r="X846" s="6" t="n"/>
      <c r="Y846" s="6" t="n"/>
      <c r="Z846" s="6" t="n"/>
      <c r="AA846" s="6" t="n"/>
      <c r="AB846" s="6" t="n"/>
    </row>
    <row r="847" ht="19.5" customHeight="1" s="92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6" t="n"/>
      <c r="P847" s="6" t="n"/>
      <c r="Q847" s="6" t="n"/>
      <c r="R847" s="6" t="n"/>
      <c r="S847" s="6" t="n"/>
      <c r="T847" s="6" t="n"/>
      <c r="U847" s="6" t="n"/>
      <c r="V847" s="6" t="n"/>
      <c r="W847" s="6" t="n"/>
      <c r="X847" s="6" t="n"/>
      <c r="Y847" s="6" t="n"/>
      <c r="Z847" s="6" t="n"/>
      <c r="AA847" s="6" t="n"/>
      <c r="AB847" s="6" t="n"/>
    </row>
    <row r="848" ht="19.5" customHeight="1" s="92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6" t="n"/>
      <c r="P848" s="6" t="n"/>
      <c r="Q848" s="6" t="n"/>
      <c r="R848" s="6" t="n"/>
      <c r="S848" s="6" t="n"/>
      <c r="T848" s="6" t="n"/>
      <c r="U848" s="6" t="n"/>
      <c r="V848" s="6" t="n"/>
      <c r="W848" s="6" t="n"/>
      <c r="X848" s="6" t="n"/>
      <c r="Y848" s="6" t="n"/>
      <c r="Z848" s="6" t="n"/>
      <c r="AA848" s="6" t="n"/>
      <c r="AB848" s="6" t="n"/>
    </row>
    <row r="849" ht="19.5" customHeight="1" s="92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6" t="n"/>
      <c r="P849" s="6" t="n"/>
      <c r="Q849" s="6" t="n"/>
      <c r="R849" s="6" t="n"/>
      <c r="S849" s="6" t="n"/>
      <c r="T849" s="6" t="n"/>
      <c r="U849" s="6" t="n"/>
      <c r="V849" s="6" t="n"/>
      <c r="W849" s="6" t="n"/>
      <c r="X849" s="6" t="n"/>
      <c r="Y849" s="6" t="n"/>
      <c r="Z849" s="6" t="n"/>
      <c r="AA849" s="6" t="n"/>
      <c r="AB849" s="6" t="n"/>
    </row>
    <row r="850" ht="19.5" customHeight="1" s="92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6" t="n"/>
      <c r="P850" s="6" t="n"/>
      <c r="Q850" s="6" t="n"/>
      <c r="R850" s="6" t="n"/>
      <c r="S850" s="6" t="n"/>
      <c r="T850" s="6" t="n"/>
      <c r="U850" s="6" t="n"/>
      <c r="V850" s="6" t="n"/>
      <c r="W850" s="6" t="n"/>
      <c r="X850" s="6" t="n"/>
      <c r="Y850" s="6" t="n"/>
      <c r="Z850" s="6" t="n"/>
      <c r="AA850" s="6" t="n"/>
      <c r="AB850" s="6" t="n"/>
    </row>
    <row r="851" ht="19.5" customHeight="1" s="92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6" t="n"/>
      <c r="P851" s="6" t="n"/>
      <c r="Q851" s="6" t="n"/>
      <c r="R851" s="6" t="n"/>
      <c r="S851" s="6" t="n"/>
      <c r="T851" s="6" t="n"/>
      <c r="U851" s="6" t="n"/>
      <c r="V851" s="6" t="n"/>
      <c r="W851" s="6" t="n"/>
      <c r="X851" s="6" t="n"/>
      <c r="Y851" s="6" t="n"/>
      <c r="Z851" s="6" t="n"/>
      <c r="AA851" s="6" t="n"/>
      <c r="AB851" s="6" t="n"/>
    </row>
    <row r="852" ht="19.5" customHeight="1" s="92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6" t="n"/>
      <c r="P852" s="6" t="n"/>
      <c r="Q852" s="6" t="n"/>
      <c r="R852" s="6" t="n"/>
      <c r="S852" s="6" t="n"/>
      <c r="T852" s="6" t="n"/>
      <c r="U852" s="6" t="n"/>
      <c r="V852" s="6" t="n"/>
      <c r="W852" s="6" t="n"/>
      <c r="X852" s="6" t="n"/>
      <c r="Y852" s="6" t="n"/>
      <c r="Z852" s="6" t="n"/>
      <c r="AA852" s="6" t="n"/>
      <c r="AB852" s="6" t="n"/>
    </row>
    <row r="853" ht="19.5" customHeight="1" s="92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6" t="n"/>
      <c r="P853" s="6" t="n"/>
      <c r="Q853" s="6" t="n"/>
      <c r="R853" s="6" t="n"/>
      <c r="S853" s="6" t="n"/>
      <c r="T853" s="6" t="n"/>
      <c r="U853" s="6" t="n"/>
      <c r="V853" s="6" t="n"/>
      <c r="W853" s="6" t="n"/>
      <c r="X853" s="6" t="n"/>
      <c r="Y853" s="6" t="n"/>
      <c r="Z853" s="6" t="n"/>
      <c r="AA853" s="6" t="n"/>
      <c r="AB853" s="6" t="n"/>
    </row>
    <row r="854" ht="19.5" customHeight="1" s="92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6" t="n"/>
      <c r="P854" s="6" t="n"/>
      <c r="Q854" s="6" t="n"/>
      <c r="R854" s="6" t="n"/>
      <c r="S854" s="6" t="n"/>
      <c r="T854" s="6" t="n"/>
      <c r="U854" s="6" t="n"/>
      <c r="V854" s="6" t="n"/>
      <c r="W854" s="6" t="n"/>
      <c r="X854" s="6" t="n"/>
      <c r="Y854" s="6" t="n"/>
      <c r="Z854" s="6" t="n"/>
      <c r="AA854" s="6" t="n"/>
      <c r="AB854" s="6" t="n"/>
    </row>
    <row r="855" ht="19.5" customHeight="1" s="92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6" t="n"/>
      <c r="P855" s="6" t="n"/>
      <c r="Q855" s="6" t="n"/>
      <c r="R855" s="6" t="n"/>
      <c r="S855" s="6" t="n"/>
      <c r="T855" s="6" t="n"/>
      <c r="U855" s="6" t="n"/>
      <c r="V855" s="6" t="n"/>
      <c r="W855" s="6" t="n"/>
      <c r="X855" s="6" t="n"/>
      <c r="Y855" s="6" t="n"/>
      <c r="Z855" s="6" t="n"/>
      <c r="AA855" s="6" t="n"/>
      <c r="AB855" s="6" t="n"/>
    </row>
    <row r="856" ht="19.5" customHeight="1" s="92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6" t="n"/>
      <c r="P856" s="6" t="n"/>
      <c r="Q856" s="6" t="n"/>
      <c r="R856" s="6" t="n"/>
      <c r="S856" s="6" t="n"/>
      <c r="T856" s="6" t="n"/>
      <c r="U856" s="6" t="n"/>
      <c r="V856" s="6" t="n"/>
      <c r="W856" s="6" t="n"/>
      <c r="X856" s="6" t="n"/>
      <c r="Y856" s="6" t="n"/>
      <c r="Z856" s="6" t="n"/>
      <c r="AA856" s="6" t="n"/>
      <c r="AB856" s="6" t="n"/>
    </row>
    <row r="857" ht="19.5" customHeight="1" s="92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6" t="n"/>
      <c r="P857" s="6" t="n"/>
      <c r="Q857" s="6" t="n"/>
      <c r="R857" s="6" t="n"/>
      <c r="S857" s="6" t="n"/>
      <c r="T857" s="6" t="n"/>
      <c r="U857" s="6" t="n"/>
      <c r="V857" s="6" t="n"/>
      <c r="W857" s="6" t="n"/>
      <c r="X857" s="6" t="n"/>
      <c r="Y857" s="6" t="n"/>
      <c r="Z857" s="6" t="n"/>
      <c r="AA857" s="6" t="n"/>
      <c r="AB857" s="6" t="n"/>
    </row>
    <row r="858" ht="19.5" customHeight="1" s="92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6" t="n"/>
      <c r="P858" s="6" t="n"/>
      <c r="Q858" s="6" t="n"/>
      <c r="R858" s="6" t="n"/>
      <c r="S858" s="6" t="n"/>
      <c r="T858" s="6" t="n"/>
      <c r="U858" s="6" t="n"/>
      <c r="V858" s="6" t="n"/>
      <c r="W858" s="6" t="n"/>
      <c r="X858" s="6" t="n"/>
      <c r="Y858" s="6" t="n"/>
      <c r="Z858" s="6" t="n"/>
      <c r="AA858" s="6" t="n"/>
      <c r="AB858" s="6" t="n"/>
    </row>
    <row r="859" ht="19.5" customHeight="1" s="92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6" t="n"/>
      <c r="P859" s="6" t="n"/>
      <c r="Q859" s="6" t="n"/>
      <c r="R859" s="6" t="n"/>
      <c r="S859" s="6" t="n"/>
      <c r="T859" s="6" t="n"/>
      <c r="U859" s="6" t="n"/>
      <c r="V859" s="6" t="n"/>
      <c r="W859" s="6" t="n"/>
      <c r="X859" s="6" t="n"/>
      <c r="Y859" s="6" t="n"/>
      <c r="Z859" s="6" t="n"/>
      <c r="AA859" s="6" t="n"/>
      <c r="AB859" s="6" t="n"/>
    </row>
    <row r="860" ht="19.5" customHeight="1" s="92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6" t="n"/>
      <c r="P860" s="6" t="n"/>
      <c r="Q860" s="6" t="n"/>
      <c r="R860" s="6" t="n"/>
      <c r="S860" s="6" t="n"/>
      <c r="T860" s="6" t="n"/>
      <c r="U860" s="6" t="n"/>
      <c r="V860" s="6" t="n"/>
      <c r="W860" s="6" t="n"/>
      <c r="X860" s="6" t="n"/>
      <c r="Y860" s="6" t="n"/>
      <c r="Z860" s="6" t="n"/>
      <c r="AA860" s="6" t="n"/>
      <c r="AB860" s="6" t="n"/>
    </row>
    <row r="861" ht="19.5" customHeight="1" s="92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6" t="n"/>
      <c r="P861" s="6" t="n"/>
      <c r="Q861" s="6" t="n"/>
      <c r="R861" s="6" t="n"/>
      <c r="S861" s="6" t="n"/>
      <c r="T861" s="6" t="n"/>
      <c r="U861" s="6" t="n"/>
      <c r="V861" s="6" t="n"/>
      <c r="W861" s="6" t="n"/>
      <c r="X861" s="6" t="n"/>
      <c r="Y861" s="6" t="n"/>
      <c r="Z861" s="6" t="n"/>
      <c r="AA861" s="6" t="n"/>
      <c r="AB861" s="6" t="n"/>
    </row>
    <row r="862" ht="19.5" customHeight="1" s="92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6" t="n"/>
      <c r="P862" s="6" t="n"/>
      <c r="Q862" s="6" t="n"/>
      <c r="R862" s="6" t="n"/>
      <c r="S862" s="6" t="n"/>
      <c r="T862" s="6" t="n"/>
      <c r="U862" s="6" t="n"/>
      <c r="V862" s="6" t="n"/>
      <c r="W862" s="6" t="n"/>
      <c r="X862" s="6" t="n"/>
      <c r="Y862" s="6" t="n"/>
      <c r="Z862" s="6" t="n"/>
      <c r="AA862" s="6" t="n"/>
      <c r="AB862" s="6" t="n"/>
    </row>
    <row r="863" ht="19.5" customHeight="1" s="92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6" t="n"/>
      <c r="P863" s="6" t="n"/>
      <c r="Q863" s="6" t="n"/>
      <c r="R863" s="6" t="n"/>
      <c r="S863" s="6" t="n"/>
      <c r="T863" s="6" t="n"/>
      <c r="U863" s="6" t="n"/>
      <c r="V863" s="6" t="n"/>
      <c r="W863" s="6" t="n"/>
      <c r="X863" s="6" t="n"/>
      <c r="Y863" s="6" t="n"/>
      <c r="Z863" s="6" t="n"/>
      <c r="AA863" s="6" t="n"/>
      <c r="AB863" s="6" t="n"/>
    </row>
    <row r="864" ht="19.5" customHeight="1" s="92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6" t="n"/>
      <c r="P864" s="6" t="n"/>
      <c r="Q864" s="6" t="n"/>
      <c r="R864" s="6" t="n"/>
      <c r="S864" s="6" t="n"/>
      <c r="T864" s="6" t="n"/>
      <c r="U864" s="6" t="n"/>
      <c r="V864" s="6" t="n"/>
      <c r="W864" s="6" t="n"/>
      <c r="X864" s="6" t="n"/>
      <c r="Y864" s="6" t="n"/>
      <c r="Z864" s="6" t="n"/>
      <c r="AA864" s="6" t="n"/>
      <c r="AB864" s="6" t="n"/>
    </row>
    <row r="865" ht="19.5" customHeight="1" s="92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6" t="n"/>
      <c r="P865" s="6" t="n"/>
      <c r="Q865" s="6" t="n"/>
      <c r="R865" s="6" t="n"/>
      <c r="S865" s="6" t="n"/>
      <c r="T865" s="6" t="n"/>
      <c r="U865" s="6" t="n"/>
      <c r="V865" s="6" t="n"/>
      <c r="W865" s="6" t="n"/>
      <c r="X865" s="6" t="n"/>
      <c r="Y865" s="6" t="n"/>
      <c r="Z865" s="6" t="n"/>
      <c r="AA865" s="6" t="n"/>
      <c r="AB865" s="6" t="n"/>
    </row>
    <row r="866" ht="19.5" customHeight="1" s="92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6" t="n"/>
      <c r="P866" s="6" t="n"/>
      <c r="Q866" s="6" t="n"/>
      <c r="R866" s="6" t="n"/>
      <c r="S866" s="6" t="n"/>
      <c r="T866" s="6" t="n"/>
      <c r="U866" s="6" t="n"/>
      <c r="V866" s="6" t="n"/>
      <c r="W866" s="6" t="n"/>
      <c r="X866" s="6" t="n"/>
      <c r="Y866" s="6" t="n"/>
      <c r="Z866" s="6" t="n"/>
      <c r="AA866" s="6" t="n"/>
      <c r="AB866" s="6" t="n"/>
    </row>
    <row r="867" ht="19.5" customHeight="1" s="92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6" t="n"/>
      <c r="P867" s="6" t="n"/>
      <c r="Q867" s="6" t="n"/>
      <c r="R867" s="6" t="n"/>
      <c r="S867" s="6" t="n"/>
      <c r="T867" s="6" t="n"/>
      <c r="U867" s="6" t="n"/>
      <c r="V867" s="6" t="n"/>
      <c r="W867" s="6" t="n"/>
      <c r="X867" s="6" t="n"/>
      <c r="Y867" s="6" t="n"/>
      <c r="Z867" s="6" t="n"/>
      <c r="AA867" s="6" t="n"/>
      <c r="AB867" s="6" t="n"/>
    </row>
    <row r="868" ht="19.5" customHeight="1" s="92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6" t="n"/>
      <c r="P868" s="6" t="n"/>
      <c r="Q868" s="6" t="n"/>
      <c r="R868" s="6" t="n"/>
      <c r="S868" s="6" t="n"/>
      <c r="T868" s="6" t="n"/>
      <c r="U868" s="6" t="n"/>
      <c r="V868" s="6" t="n"/>
      <c r="W868" s="6" t="n"/>
      <c r="X868" s="6" t="n"/>
      <c r="Y868" s="6" t="n"/>
      <c r="Z868" s="6" t="n"/>
      <c r="AA868" s="6" t="n"/>
      <c r="AB868" s="6" t="n"/>
    </row>
    <row r="869" ht="19.5" customHeight="1" s="92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6" t="n"/>
      <c r="P869" s="6" t="n"/>
      <c r="Q869" s="6" t="n"/>
      <c r="R869" s="6" t="n"/>
      <c r="S869" s="6" t="n"/>
      <c r="T869" s="6" t="n"/>
      <c r="U869" s="6" t="n"/>
      <c r="V869" s="6" t="n"/>
      <c r="W869" s="6" t="n"/>
      <c r="X869" s="6" t="n"/>
      <c r="Y869" s="6" t="n"/>
      <c r="Z869" s="6" t="n"/>
      <c r="AA869" s="6" t="n"/>
      <c r="AB869" s="6" t="n"/>
    </row>
    <row r="870" ht="19.5" customHeight="1" s="92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6" t="n"/>
      <c r="P870" s="6" t="n"/>
      <c r="Q870" s="6" t="n"/>
      <c r="R870" s="6" t="n"/>
      <c r="S870" s="6" t="n"/>
      <c r="T870" s="6" t="n"/>
      <c r="U870" s="6" t="n"/>
      <c r="V870" s="6" t="n"/>
      <c r="W870" s="6" t="n"/>
      <c r="X870" s="6" t="n"/>
      <c r="Y870" s="6" t="n"/>
      <c r="Z870" s="6" t="n"/>
      <c r="AA870" s="6" t="n"/>
      <c r="AB870" s="6" t="n"/>
    </row>
    <row r="871" ht="19.5" customHeight="1" s="92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6" t="n"/>
      <c r="P871" s="6" t="n"/>
      <c r="Q871" s="6" t="n"/>
      <c r="R871" s="6" t="n"/>
      <c r="S871" s="6" t="n"/>
      <c r="T871" s="6" t="n"/>
      <c r="U871" s="6" t="n"/>
      <c r="V871" s="6" t="n"/>
      <c r="W871" s="6" t="n"/>
      <c r="X871" s="6" t="n"/>
      <c r="Y871" s="6" t="n"/>
      <c r="Z871" s="6" t="n"/>
      <c r="AA871" s="6" t="n"/>
      <c r="AB871" s="6" t="n"/>
    </row>
    <row r="872" ht="19.5" customHeight="1" s="92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6" t="n"/>
      <c r="P872" s="6" t="n"/>
      <c r="Q872" s="6" t="n"/>
      <c r="R872" s="6" t="n"/>
      <c r="S872" s="6" t="n"/>
      <c r="T872" s="6" t="n"/>
      <c r="U872" s="6" t="n"/>
      <c r="V872" s="6" t="n"/>
      <c r="W872" s="6" t="n"/>
      <c r="X872" s="6" t="n"/>
      <c r="Y872" s="6" t="n"/>
      <c r="Z872" s="6" t="n"/>
      <c r="AA872" s="6" t="n"/>
      <c r="AB872" s="6" t="n"/>
    </row>
    <row r="873" ht="19.5" customHeight="1" s="92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6" t="n"/>
      <c r="P873" s="6" t="n"/>
      <c r="Q873" s="6" t="n"/>
      <c r="R873" s="6" t="n"/>
      <c r="S873" s="6" t="n"/>
      <c r="T873" s="6" t="n"/>
      <c r="U873" s="6" t="n"/>
      <c r="V873" s="6" t="n"/>
      <c r="W873" s="6" t="n"/>
      <c r="X873" s="6" t="n"/>
      <c r="Y873" s="6" t="n"/>
      <c r="Z873" s="6" t="n"/>
      <c r="AA873" s="6" t="n"/>
      <c r="AB873" s="6" t="n"/>
    </row>
    <row r="874" ht="19.5" customHeight="1" s="92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6" t="n"/>
      <c r="P874" s="6" t="n"/>
      <c r="Q874" s="6" t="n"/>
      <c r="R874" s="6" t="n"/>
      <c r="S874" s="6" t="n"/>
      <c r="T874" s="6" t="n"/>
      <c r="U874" s="6" t="n"/>
      <c r="V874" s="6" t="n"/>
      <c r="W874" s="6" t="n"/>
      <c r="X874" s="6" t="n"/>
      <c r="Y874" s="6" t="n"/>
      <c r="Z874" s="6" t="n"/>
      <c r="AA874" s="6" t="n"/>
      <c r="AB874" s="6" t="n"/>
    </row>
    <row r="875" ht="19.5" customHeight="1" s="92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6" t="n"/>
      <c r="P875" s="6" t="n"/>
      <c r="Q875" s="6" t="n"/>
      <c r="R875" s="6" t="n"/>
      <c r="S875" s="6" t="n"/>
      <c r="T875" s="6" t="n"/>
      <c r="U875" s="6" t="n"/>
      <c r="V875" s="6" t="n"/>
      <c r="W875" s="6" t="n"/>
      <c r="X875" s="6" t="n"/>
      <c r="Y875" s="6" t="n"/>
      <c r="Z875" s="6" t="n"/>
      <c r="AA875" s="6" t="n"/>
      <c r="AB875" s="6" t="n"/>
    </row>
    <row r="876" ht="19.5" customHeight="1" s="92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6" t="n"/>
      <c r="P876" s="6" t="n"/>
      <c r="Q876" s="6" t="n"/>
      <c r="R876" s="6" t="n"/>
      <c r="S876" s="6" t="n"/>
      <c r="T876" s="6" t="n"/>
      <c r="U876" s="6" t="n"/>
      <c r="V876" s="6" t="n"/>
      <c r="W876" s="6" t="n"/>
      <c r="X876" s="6" t="n"/>
      <c r="Y876" s="6" t="n"/>
      <c r="Z876" s="6" t="n"/>
      <c r="AA876" s="6" t="n"/>
      <c r="AB876" s="6" t="n"/>
    </row>
    <row r="877" ht="19.5" customHeight="1" s="92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6" t="n"/>
      <c r="P877" s="6" t="n"/>
      <c r="Q877" s="6" t="n"/>
      <c r="R877" s="6" t="n"/>
      <c r="S877" s="6" t="n"/>
      <c r="T877" s="6" t="n"/>
      <c r="U877" s="6" t="n"/>
      <c r="V877" s="6" t="n"/>
      <c r="W877" s="6" t="n"/>
      <c r="X877" s="6" t="n"/>
      <c r="Y877" s="6" t="n"/>
      <c r="Z877" s="6" t="n"/>
      <c r="AA877" s="6" t="n"/>
      <c r="AB877" s="6" t="n"/>
    </row>
    <row r="878" ht="19.5" customHeight="1" s="92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6" t="n"/>
      <c r="P878" s="6" t="n"/>
      <c r="Q878" s="6" t="n"/>
      <c r="R878" s="6" t="n"/>
      <c r="S878" s="6" t="n"/>
      <c r="T878" s="6" t="n"/>
      <c r="U878" s="6" t="n"/>
      <c r="V878" s="6" t="n"/>
      <c r="W878" s="6" t="n"/>
      <c r="X878" s="6" t="n"/>
      <c r="Y878" s="6" t="n"/>
      <c r="Z878" s="6" t="n"/>
      <c r="AA878" s="6" t="n"/>
      <c r="AB878" s="6" t="n"/>
    </row>
    <row r="879" ht="19.5" customHeight="1" s="92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6" t="n"/>
      <c r="P879" s="6" t="n"/>
      <c r="Q879" s="6" t="n"/>
      <c r="R879" s="6" t="n"/>
      <c r="S879" s="6" t="n"/>
      <c r="T879" s="6" t="n"/>
      <c r="U879" s="6" t="n"/>
      <c r="V879" s="6" t="n"/>
      <c r="W879" s="6" t="n"/>
      <c r="X879" s="6" t="n"/>
      <c r="Y879" s="6" t="n"/>
      <c r="Z879" s="6" t="n"/>
      <c r="AA879" s="6" t="n"/>
      <c r="AB879" s="6" t="n"/>
    </row>
    <row r="880" ht="19.5" customHeight="1" s="92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6" t="n"/>
      <c r="P880" s="6" t="n"/>
      <c r="Q880" s="6" t="n"/>
      <c r="R880" s="6" t="n"/>
      <c r="S880" s="6" t="n"/>
      <c r="T880" s="6" t="n"/>
      <c r="U880" s="6" t="n"/>
      <c r="V880" s="6" t="n"/>
      <c r="W880" s="6" t="n"/>
      <c r="X880" s="6" t="n"/>
      <c r="Y880" s="6" t="n"/>
      <c r="Z880" s="6" t="n"/>
      <c r="AA880" s="6" t="n"/>
      <c r="AB880" s="6" t="n"/>
    </row>
    <row r="881" ht="19.5" customHeight="1" s="92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6" t="n"/>
      <c r="P881" s="6" t="n"/>
      <c r="Q881" s="6" t="n"/>
      <c r="R881" s="6" t="n"/>
      <c r="S881" s="6" t="n"/>
      <c r="T881" s="6" t="n"/>
      <c r="U881" s="6" t="n"/>
      <c r="V881" s="6" t="n"/>
      <c r="W881" s="6" t="n"/>
      <c r="X881" s="6" t="n"/>
      <c r="Y881" s="6" t="n"/>
      <c r="Z881" s="6" t="n"/>
      <c r="AA881" s="6" t="n"/>
      <c r="AB881" s="6" t="n"/>
    </row>
    <row r="882" ht="19.5" customHeight="1" s="92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6" t="n"/>
      <c r="P882" s="6" t="n"/>
      <c r="Q882" s="6" t="n"/>
      <c r="R882" s="6" t="n"/>
      <c r="S882" s="6" t="n"/>
      <c r="T882" s="6" t="n"/>
      <c r="U882" s="6" t="n"/>
      <c r="V882" s="6" t="n"/>
      <c r="W882" s="6" t="n"/>
      <c r="X882" s="6" t="n"/>
      <c r="Y882" s="6" t="n"/>
      <c r="Z882" s="6" t="n"/>
      <c r="AA882" s="6" t="n"/>
      <c r="AB882" s="6" t="n"/>
    </row>
    <row r="883" ht="19.5" customHeight="1" s="92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6" t="n"/>
      <c r="P883" s="6" t="n"/>
      <c r="Q883" s="6" t="n"/>
      <c r="R883" s="6" t="n"/>
      <c r="S883" s="6" t="n"/>
      <c r="T883" s="6" t="n"/>
      <c r="U883" s="6" t="n"/>
      <c r="V883" s="6" t="n"/>
      <c r="W883" s="6" t="n"/>
      <c r="X883" s="6" t="n"/>
      <c r="Y883" s="6" t="n"/>
      <c r="Z883" s="6" t="n"/>
      <c r="AA883" s="6" t="n"/>
      <c r="AB883" s="6" t="n"/>
    </row>
    <row r="884" ht="19.5" customHeight="1" s="92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6" t="n"/>
      <c r="P884" s="6" t="n"/>
      <c r="Q884" s="6" t="n"/>
      <c r="R884" s="6" t="n"/>
      <c r="S884" s="6" t="n"/>
      <c r="T884" s="6" t="n"/>
      <c r="U884" s="6" t="n"/>
      <c r="V884" s="6" t="n"/>
      <c r="W884" s="6" t="n"/>
      <c r="X884" s="6" t="n"/>
      <c r="Y884" s="6" t="n"/>
      <c r="Z884" s="6" t="n"/>
      <c r="AA884" s="6" t="n"/>
      <c r="AB884" s="6" t="n"/>
    </row>
    <row r="885" ht="19.5" customHeight="1" s="92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6" t="n"/>
      <c r="P885" s="6" t="n"/>
      <c r="Q885" s="6" t="n"/>
      <c r="R885" s="6" t="n"/>
      <c r="S885" s="6" t="n"/>
      <c r="T885" s="6" t="n"/>
      <c r="U885" s="6" t="n"/>
      <c r="V885" s="6" t="n"/>
      <c r="W885" s="6" t="n"/>
      <c r="X885" s="6" t="n"/>
      <c r="Y885" s="6" t="n"/>
      <c r="Z885" s="6" t="n"/>
      <c r="AA885" s="6" t="n"/>
      <c r="AB885" s="6" t="n"/>
    </row>
    <row r="886" ht="19.5" customHeight="1" s="92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6" t="n"/>
      <c r="P886" s="6" t="n"/>
      <c r="Q886" s="6" t="n"/>
      <c r="R886" s="6" t="n"/>
      <c r="S886" s="6" t="n"/>
      <c r="T886" s="6" t="n"/>
      <c r="U886" s="6" t="n"/>
      <c r="V886" s="6" t="n"/>
      <c r="W886" s="6" t="n"/>
      <c r="X886" s="6" t="n"/>
      <c r="Y886" s="6" t="n"/>
      <c r="Z886" s="6" t="n"/>
      <c r="AA886" s="6" t="n"/>
      <c r="AB886" s="6" t="n"/>
    </row>
    <row r="887" ht="19.5" customHeight="1" s="92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6" t="n"/>
      <c r="P887" s="6" t="n"/>
      <c r="Q887" s="6" t="n"/>
      <c r="R887" s="6" t="n"/>
      <c r="S887" s="6" t="n"/>
      <c r="T887" s="6" t="n"/>
      <c r="U887" s="6" t="n"/>
      <c r="V887" s="6" t="n"/>
      <c r="W887" s="6" t="n"/>
      <c r="X887" s="6" t="n"/>
      <c r="Y887" s="6" t="n"/>
      <c r="Z887" s="6" t="n"/>
      <c r="AA887" s="6" t="n"/>
      <c r="AB887" s="6" t="n"/>
    </row>
    <row r="888" ht="19.5" customHeight="1" s="92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6" t="n"/>
      <c r="P888" s="6" t="n"/>
      <c r="Q888" s="6" t="n"/>
      <c r="R888" s="6" t="n"/>
      <c r="S888" s="6" t="n"/>
      <c r="T888" s="6" t="n"/>
      <c r="U888" s="6" t="n"/>
      <c r="V888" s="6" t="n"/>
      <c r="W888" s="6" t="n"/>
      <c r="X888" s="6" t="n"/>
      <c r="Y888" s="6" t="n"/>
      <c r="Z888" s="6" t="n"/>
      <c r="AA888" s="6" t="n"/>
      <c r="AB888" s="6" t="n"/>
    </row>
    <row r="889" ht="19.5" customHeight="1" s="92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6" t="n"/>
      <c r="P889" s="6" t="n"/>
      <c r="Q889" s="6" t="n"/>
      <c r="R889" s="6" t="n"/>
      <c r="S889" s="6" t="n"/>
      <c r="T889" s="6" t="n"/>
      <c r="U889" s="6" t="n"/>
      <c r="V889" s="6" t="n"/>
      <c r="W889" s="6" t="n"/>
      <c r="X889" s="6" t="n"/>
      <c r="Y889" s="6" t="n"/>
      <c r="Z889" s="6" t="n"/>
      <c r="AA889" s="6" t="n"/>
      <c r="AB889" s="6" t="n"/>
    </row>
    <row r="890" ht="19.5" customHeight="1" s="92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6" t="n"/>
      <c r="P890" s="6" t="n"/>
      <c r="Q890" s="6" t="n"/>
      <c r="R890" s="6" t="n"/>
      <c r="S890" s="6" t="n"/>
      <c r="T890" s="6" t="n"/>
      <c r="U890" s="6" t="n"/>
      <c r="V890" s="6" t="n"/>
      <c r="W890" s="6" t="n"/>
      <c r="X890" s="6" t="n"/>
      <c r="Y890" s="6" t="n"/>
      <c r="Z890" s="6" t="n"/>
      <c r="AA890" s="6" t="n"/>
      <c r="AB890" s="6" t="n"/>
    </row>
    <row r="891" ht="19.5" customHeight="1" s="92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6" t="n"/>
      <c r="P891" s="6" t="n"/>
      <c r="Q891" s="6" t="n"/>
      <c r="R891" s="6" t="n"/>
      <c r="S891" s="6" t="n"/>
      <c r="T891" s="6" t="n"/>
      <c r="U891" s="6" t="n"/>
      <c r="V891" s="6" t="n"/>
      <c r="W891" s="6" t="n"/>
      <c r="X891" s="6" t="n"/>
      <c r="Y891" s="6" t="n"/>
      <c r="Z891" s="6" t="n"/>
      <c r="AA891" s="6" t="n"/>
      <c r="AB891" s="6" t="n"/>
    </row>
    <row r="892" ht="19.5" customHeight="1" s="92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6" t="n"/>
      <c r="P892" s="6" t="n"/>
      <c r="Q892" s="6" t="n"/>
      <c r="R892" s="6" t="n"/>
      <c r="S892" s="6" t="n"/>
      <c r="T892" s="6" t="n"/>
      <c r="U892" s="6" t="n"/>
      <c r="V892" s="6" t="n"/>
      <c r="W892" s="6" t="n"/>
      <c r="X892" s="6" t="n"/>
      <c r="Y892" s="6" t="n"/>
      <c r="Z892" s="6" t="n"/>
      <c r="AA892" s="6" t="n"/>
      <c r="AB892" s="6" t="n"/>
    </row>
    <row r="893" ht="19.5" customHeight="1" s="92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6" t="n"/>
      <c r="P893" s="6" t="n"/>
      <c r="Q893" s="6" t="n"/>
      <c r="R893" s="6" t="n"/>
      <c r="S893" s="6" t="n"/>
      <c r="T893" s="6" t="n"/>
      <c r="U893" s="6" t="n"/>
      <c r="V893" s="6" t="n"/>
      <c r="W893" s="6" t="n"/>
      <c r="X893" s="6" t="n"/>
      <c r="Y893" s="6" t="n"/>
      <c r="Z893" s="6" t="n"/>
      <c r="AA893" s="6" t="n"/>
      <c r="AB893" s="6" t="n"/>
    </row>
    <row r="894" ht="19.5" customHeight="1" s="92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6" t="n"/>
      <c r="P894" s="6" t="n"/>
      <c r="Q894" s="6" t="n"/>
      <c r="R894" s="6" t="n"/>
      <c r="S894" s="6" t="n"/>
      <c r="T894" s="6" t="n"/>
      <c r="U894" s="6" t="n"/>
      <c r="V894" s="6" t="n"/>
      <c r="W894" s="6" t="n"/>
      <c r="X894" s="6" t="n"/>
      <c r="Y894" s="6" t="n"/>
      <c r="Z894" s="6" t="n"/>
      <c r="AA894" s="6" t="n"/>
      <c r="AB894" s="6" t="n"/>
    </row>
    <row r="895" ht="19.5" customHeight="1" s="92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6" t="n"/>
      <c r="P895" s="6" t="n"/>
      <c r="Q895" s="6" t="n"/>
      <c r="R895" s="6" t="n"/>
      <c r="S895" s="6" t="n"/>
      <c r="T895" s="6" t="n"/>
      <c r="U895" s="6" t="n"/>
      <c r="V895" s="6" t="n"/>
      <c r="W895" s="6" t="n"/>
      <c r="X895" s="6" t="n"/>
      <c r="Y895" s="6" t="n"/>
      <c r="Z895" s="6" t="n"/>
      <c r="AA895" s="6" t="n"/>
      <c r="AB895" s="6" t="n"/>
    </row>
    <row r="896" ht="19.5" customHeight="1" s="92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6" t="n"/>
      <c r="P896" s="6" t="n"/>
      <c r="Q896" s="6" t="n"/>
      <c r="R896" s="6" t="n"/>
      <c r="S896" s="6" t="n"/>
      <c r="T896" s="6" t="n"/>
      <c r="U896" s="6" t="n"/>
      <c r="V896" s="6" t="n"/>
      <c r="W896" s="6" t="n"/>
      <c r="X896" s="6" t="n"/>
      <c r="Y896" s="6" t="n"/>
      <c r="Z896" s="6" t="n"/>
      <c r="AA896" s="6" t="n"/>
      <c r="AB896" s="6" t="n"/>
    </row>
    <row r="897" ht="19.5" customHeight="1" s="92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6" t="n"/>
      <c r="P897" s="6" t="n"/>
      <c r="Q897" s="6" t="n"/>
      <c r="R897" s="6" t="n"/>
      <c r="S897" s="6" t="n"/>
      <c r="T897" s="6" t="n"/>
      <c r="U897" s="6" t="n"/>
      <c r="V897" s="6" t="n"/>
      <c r="W897" s="6" t="n"/>
      <c r="X897" s="6" t="n"/>
      <c r="Y897" s="6" t="n"/>
      <c r="Z897" s="6" t="n"/>
      <c r="AA897" s="6" t="n"/>
      <c r="AB897" s="6" t="n"/>
    </row>
    <row r="898" ht="19.5" customHeight="1" s="92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6" t="n"/>
      <c r="P898" s="6" t="n"/>
      <c r="Q898" s="6" t="n"/>
      <c r="R898" s="6" t="n"/>
      <c r="S898" s="6" t="n"/>
      <c r="T898" s="6" t="n"/>
      <c r="U898" s="6" t="n"/>
      <c r="V898" s="6" t="n"/>
      <c r="W898" s="6" t="n"/>
      <c r="X898" s="6" t="n"/>
      <c r="Y898" s="6" t="n"/>
      <c r="Z898" s="6" t="n"/>
      <c r="AA898" s="6" t="n"/>
      <c r="AB898" s="6" t="n"/>
    </row>
    <row r="899" ht="19.5" customHeight="1" s="92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6" t="n"/>
      <c r="P899" s="6" t="n"/>
      <c r="Q899" s="6" t="n"/>
      <c r="R899" s="6" t="n"/>
      <c r="S899" s="6" t="n"/>
      <c r="T899" s="6" t="n"/>
      <c r="U899" s="6" t="n"/>
      <c r="V899" s="6" t="n"/>
      <c r="W899" s="6" t="n"/>
      <c r="X899" s="6" t="n"/>
      <c r="Y899" s="6" t="n"/>
      <c r="Z899" s="6" t="n"/>
      <c r="AA899" s="6" t="n"/>
      <c r="AB899" s="6" t="n"/>
    </row>
    <row r="900" ht="19.5" customHeight="1" s="92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6" t="n"/>
      <c r="P900" s="6" t="n"/>
      <c r="Q900" s="6" t="n"/>
      <c r="R900" s="6" t="n"/>
      <c r="S900" s="6" t="n"/>
      <c r="T900" s="6" t="n"/>
      <c r="U900" s="6" t="n"/>
      <c r="V900" s="6" t="n"/>
      <c r="W900" s="6" t="n"/>
      <c r="X900" s="6" t="n"/>
      <c r="Y900" s="6" t="n"/>
      <c r="Z900" s="6" t="n"/>
      <c r="AA900" s="6" t="n"/>
      <c r="AB900" s="6" t="n"/>
    </row>
    <row r="901" ht="19.5" customHeight="1" s="92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6" t="n"/>
      <c r="P901" s="6" t="n"/>
      <c r="Q901" s="6" t="n"/>
      <c r="R901" s="6" t="n"/>
      <c r="S901" s="6" t="n"/>
      <c r="T901" s="6" t="n"/>
      <c r="U901" s="6" t="n"/>
      <c r="V901" s="6" t="n"/>
      <c r="W901" s="6" t="n"/>
      <c r="X901" s="6" t="n"/>
      <c r="Y901" s="6" t="n"/>
      <c r="Z901" s="6" t="n"/>
      <c r="AA901" s="6" t="n"/>
      <c r="AB901" s="6" t="n"/>
    </row>
    <row r="902" ht="19.5" customHeight="1" s="92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6" t="n"/>
      <c r="P902" s="6" t="n"/>
      <c r="Q902" s="6" t="n"/>
      <c r="R902" s="6" t="n"/>
      <c r="S902" s="6" t="n"/>
      <c r="T902" s="6" t="n"/>
      <c r="U902" s="6" t="n"/>
      <c r="V902" s="6" t="n"/>
      <c r="W902" s="6" t="n"/>
      <c r="X902" s="6" t="n"/>
      <c r="Y902" s="6" t="n"/>
      <c r="Z902" s="6" t="n"/>
      <c r="AA902" s="6" t="n"/>
      <c r="AB902" s="6" t="n"/>
    </row>
    <row r="903" ht="19.5" customHeight="1" s="92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6" t="n"/>
      <c r="P903" s="6" t="n"/>
      <c r="Q903" s="6" t="n"/>
      <c r="R903" s="6" t="n"/>
      <c r="S903" s="6" t="n"/>
      <c r="T903" s="6" t="n"/>
      <c r="U903" s="6" t="n"/>
      <c r="V903" s="6" t="n"/>
      <c r="W903" s="6" t="n"/>
      <c r="X903" s="6" t="n"/>
      <c r="Y903" s="6" t="n"/>
      <c r="Z903" s="6" t="n"/>
      <c r="AA903" s="6" t="n"/>
      <c r="AB903" s="6" t="n"/>
    </row>
    <row r="904" ht="19.5" customHeight="1" s="92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6" t="n"/>
      <c r="P904" s="6" t="n"/>
      <c r="Q904" s="6" t="n"/>
      <c r="R904" s="6" t="n"/>
      <c r="S904" s="6" t="n"/>
      <c r="T904" s="6" t="n"/>
      <c r="U904" s="6" t="n"/>
      <c r="V904" s="6" t="n"/>
      <c r="W904" s="6" t="n"/>
      <c r="X904" s="6" t="n"/>
      <c r="Y904" s="6" t="n"/>
      <c r="Z904" s="6" t="n"/>
      <c r="AA904" s="6" t="n"/>
      <c r="AB904" s="6" t="n"/>
    </row>
    <row r="905" ht="19.5" customHeight="1" s="92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6" t="n"/>
      <c r="P905" s="6" t="n"/>
      <c r="Q905" s="6" t="n"/>
      <c r="R905" s="6" t="n"/>
      <c r="S905" s="6" t="n"/>
      <c r="T905" s="6" t="n"/>
      <c r="U905" s="6" t="n"/>
      <c r="V905" s="6" t="n"/>
      <c r="W905" s="6" t="n"/>
      <c r="X905" s="6" t="n"/>
      <c r="Y905" s="6" t="n"/>
      <c r="Z905" s="6" t="n"/>
      <c r="AA905" s="6" t="n"/>
      <c r="AB905" s="6" t="n"/>
    </row>
    <row r="906" ht="19.5" customHeight="1" s="92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6" t="n"/>
      <c r="P906" s="6" t="n"/>
      <c r="Q906" s="6" t="n"/>
      <c r="R906" s="6" t="n"/>
      <c r="S906" s="6" t="n"/>
      <c r="T906" s="6" t="n"/>
      <c r="U906" s="6" t="n"/>
      <c r="V906" s="6" t="n"/>
      <c r="W906" s="6" t="n"/>
      <c r="X906" s="6" t="n"/>
      <c r="Y906" s="6" t="n"/>
      <c r="Z906" s="6" t="n"/>
      <c r="AA906" s="6" t="n"/>
      <c r="AB906" s="6" t="n"/>
    </row>
    <row r="907" ht="19.5" customHeight="1" s="92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6" t="n"/>
      <c r="P907" s="6" t="n"/>
      <c r="Q907" s="6" t="n"/>
      <c r="R907" s="6" t="n"/>
      <c r="S907" s="6" t="n"/>
      <c r="T907" s="6" t="n"/>
      <c r="U907" s="6" t="n"/>
      <c r="V907" s="6" t="n"/>
      <c r="W907" s="6" t="n"/>
      <c r="X907" s="6" t="n"/>
      <c r="Y907" s="6" t="n"/>
      <c r="Z907" s="6" t="n"/>
      <c r="AA907" s="6" t="n"/>
      <c r="AB907" s="6" t="n"/>
    </row>
    <row r="908" ht="19.5" customHeight="1" s="92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6" t="n"/>
      <c r="P908" s="6" t="n"/>
      <c r="Q908" s="6" t="n"/>
      <c r="R908" s="6" t="n"/>
      <c r="S908" s="6" t="n"/>
      <c r="T908" s="6" t="n"/>
      <c r="U908" s="6" t="n"/>
      <c r="V908" s="6" t="n"/>
      <c r="W908" s="6" t="n"/>
      <c r="X908" s="6" t="n"/>
      <c r="Y908" s="6" t="n"/>
      <c r="Z908" s="6" t="n"/>
      <c r="AA908" s="6" t="n"/>
      <c r="AB908" s="6" t="n"/>
    </row>
    <row r="909" ht="19.5" customHeight="1" s="92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6" t="n"/>
      <c r="P909" s="6" t="n"/>
      <c r="Q909" s="6" t="n"/>
      <c r="R909" s="6" t="n"/>
      <c r="S909" s="6" t="n"/>
      <c r="T909" s="6" t="n"/>
      <c r="U909" s="6" t="n"/>
      <c r="V909" s="6" t="n"/>
      <c r="W909" s="6" t="n"/>
      <c r="X909" s="6" t="n"/>
      <c r="Y909" s="6" t="n"/>
      <c r="Z909" s="6" t="n"/>
      <c r="AA909" s="6" t="n"/>
      <c r="AB909" s="6" t="n"/>
    </row>
    <row r="910" ht="19.5" customHeight="1" s="92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6" t="n"/>
      <c r="P910" s="6" t="n"/>
      <c r="Q910" s="6" t="n"/>
      <c r="R910" s="6" t="n"/>
      <c r="S910" s="6" t="n"/>
      <c r="T910" s="6" t="n"/>
      <c r="U910" s="6" t="n"/>
      <c r="V910" s="6" t="n"/>
      <c r="W910" s="6" t="n"/>
      <c r="X910" s="6" t="n"/>
      <c r="Y910" s="6" t="n"/>
      <c r="Z910" s="6" t="n"/>
      <c r="AA910" s="6" t="n"/>
      <c r="AB910" s="6" t="n"/>
    </row>
    <row r="911" ht="19.5" customHeight="1" s="92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6" t="n"/>
      <c r="P911" s="6" t="n"/>
      <c r="Q911" s="6" t="n"/>
      <c r="R911" s="6" t="n"/>
      <c r="S911" s="6" t="n"/>
      <c r="T911" s="6" t="n"/>
      <c r="U911" s="6" t="n"/>
      <c r="V911" s="6" t="n"/>
      <c r="W911" s="6" t="n"/>
      <c r="X911" s="6" t="n"/>
      <c r="Y911" s="6" t="n"/>
      <c r="Z911" s="6" t="n"/>
      <c r="AA911" s="6" t="n"/>
      <c r="AB911" s="6" t="n"/>
    </row>
    <row r="912" ht="19.5" customHeight="1" s="92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6" t="n"/>
      <c r="P912" s="6" t="n"/>
      <c r="Q912" s="6" t="n"/>
      <c r="R912" s="6" t="n"/>
      <c r="S912" s="6" t="n"/>
      <c r="T912" s="6" t="n"/>
      <c r="U912" s="6" t="n"/>
      <c r="V912" s="6" t="n"/>
      <c r="W912" s="6" t="n"/>
      <c r="X912" s="6" t="n"/>
      <c r="Y912" s="6" t="n"/>
      <c r="Z912" s="6" t="n"/>
      <c r="AA912" s="6" t="n"/>
      <c r="AB912" s="6" t="n"/>
    </row>
    <row r="913" ht="19.5" customHeight="1" s="92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6" t="n"/>
      <c r="P913" s="6" t="n"/>
      <c r="Q913" s="6" t="n"/>
      <c r="R913" s="6" t="n"/>
      <c r="S913" s="6" t="n"/>
      <c r="T913" s="6" t="n"/>
      <c r="U913" s="6" t="n"/>
      <c r="V913" s="6" t="n"/>
      <c r="W913" s="6" t="n"/>
      <c r="X913" s="6" t="n"/>
      <c r="Y913" s="6" t="n"/>
      <c r="Z913" s="6" t="n"/>
      <c r="AA913" s="6" t="n"/>
      <c r="AB913" s="6" t="n"/>
    </row>
    <row r="914" ht="19.5" customHeight="1" s="92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6" t="n"/>
      <c r="P914" s="6" t="n"/>
      <c r="Q914" s="6" t="n"/>
      <c r="R914" s="6" t="n"/>
      <c r="S914" s="6" t="n"/>
      <c r="T914" s="6" t="n"/>
      <c r="U914" s="6" t="n"/>
      <c r="V914" s="6" t="n"/>
      <c r="W914" s="6" t="n"/>
      <c r="X914" s="6" t="n"/>
      <c r="Y914" s="6" t="n"/>
      <c r="Z914" s="6" t="n"/>
      <c r="AA914" s="6" t="n"/>
      <c r="AB914" s="6" t="n"/>
    </row>
    <row r="915" ht="19.5" customHeight="1" s="92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6" t="n"/>
      <c r="P915" s="6" t="n"/>
      <c r="Q915" s="6" t="n"/>
      <c r="R915" s="6" t="n"/>
      <c r="S915" s="6" t="n"/>
      <c r="T915" s="6" t="n"/>
      <c r="U915" s="6" t="n"/>
      <c r="V915" s="6" t="n"/>
      <c r="W915" s="6" t="n"/>
      <c r="X915" s="6" t="n"/>
      <c r="Y915" s="6" t="n"/>
      <c r="Z915" s="6" t="n"/>
      <c r="AA915" s="6" t="n"/>
      <c r="AB915" s="6" t="n"/>
    </row>
    <row r="916" ht="19.5" customHeight="1" s="92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6" t="n"/>
      <c r="P916" s="6" t="n"/>
      <c r="Q916" s="6" t="n"/>
      <c r="R916" s="6" t="n"/>
      <c r="S916" s="6" t="n"/>
      <c r="T916" s="6" t="n"/>
      <c r="U916" s="6" t="n"/>
      <c r="V916" s="6" t="n"/>
      <c r="W916" s="6" t="n"/>
      <c r="X916" s="6" t="n"/>
      <c r="Y916" s="6" t="n"/>
      <c r="Z916" s="6" t="n"/>
      <c r="AA916" s="6" t="n"/>
      <c r="AB916" s="6" t="n"/>
    </row>
    <row r="917" ht="19.5" customHeight="1" s="92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6" t="n"/>
      <c r="P917" s="6" t="n"/>
      <c r="Q917" s="6" t="n"/>
      <c r="R917" s="6" t="n"/>
      <c r="S917" s="6" t="n"/>
      <c r="T917" s="6" t="n"/>
      <c r="U917" s="6" t="n"/>
      <c r="V917" s="6" t="n"/>
      <c r="W917" s="6" t="n"/>
      <c r="X917" s="6" t="n"/>
      <c r="Y917" s="6" t="n"/>
      <c r="Z917" s="6" t="n"/>
      <c r="AA917" s="6" t="n"/>
      <c r="AB917" s="6" t="n"/>
    </row>
    <row r="918" ht="19.5" customHeight="1" s="92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6" t="n"/>
      <c r="P918" s="6" t="n"/>
      <c r="Q918" s="6" t="n"/>
      <c r="R918" s="6" t="n"/>
      <c r="S918" s="6" t="n"/>
      <c r="T918" s="6" t="n"/>
      <c r="U918" s="6" t="n"/>
      <c r="V918" s="6" t="n"/>
      <c r="W918" s="6" t="n"/>
      <c r="X918" s="6" t="n"/>
      <c r="Y918" s="6" t="n"/>
      <c r="Z918" s="6" t="n"/>
      <c r="AA918" s="6" t="n"/>
      <c r="AB918" s="6" t="n"/>
    </row>
    <row r="919" ht="19.5" customHeight="1" s="92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6" t="n"/>
      <c r="P919" s="6" t="n"/>
      <c r="Q919" s="6" t="n"/>
      <c r="R919" s="6" t="n"/>
      <c r="S919" s="6" t="n"/>
      <c r="T919" s="6" t="n"/>
      <c r="U919" s="6" t="n"/>
      <c r="V919" s="6" t="n"/>
      <c r="W919" s="6" t="n"/>
      <c r="X919" s="6" t="n"/>
      <c r="Y919" s="6" t="n"/>
      <c r="Z919" s="6" t="n"/>
      <c r="AA919" s="6" t="n"/>
      <c r="AB919" s="6" t="n"/>
    </row>
    <row r="920" ht="19.5" customHeight="1" s="92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6" t="n"/>
      <c r="P920" s="6" t="n"/>
      <c r="Q920" s="6" t="n"/>
      <c r="R920" s="6" t="n"/>
      <c r="S920" s="6" t="n"/>
      <c r="T920" s="6" t="n"/>
      <c r="U920" s="6" t="n"/>
      <c r="V920" s="6" t="n"/>
      <c r="W920" s="6" t="n"/>
      <c r="X920" s="6" t="n"/>
      <c r="Y920" s="6" t="n"/>
      <c r="Z920" s="6" t="n"/>
      <c r="AA920" s="6" t="n"/>
      <c r="AB920" s="6" t="n"/>
    </row>
    <row r="921" ht="19.5" customHeight="1" s="92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6" t="n"/>
      <c r="P921" s="6" t="n"/>
      <c r="Q921" s="6" t="n"/>
      <c r="R921" s="6" t="n"/>
      <c r="S921" s="6" t="n"/>
      <c r="T921" s="6" t="n"/>
      <c r="U921" s="6" t="n"/>
      <c r="V921" s="6" t="n"/>
      <c r="W921" s="6" t="n"/>
      <c r="X921" s="6" t="n"/>
      <c r="Y921" s="6" t="n"/>
      <c r="Z921" s="6" t="n"/>
      <c r="AA921" s="6" t="n"/>
      <c r="AB921" s="6" t="n"/>
    </row>
    <row r="922" ht="19.5" customHeight="1" s="92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6" t="n"/>
      <c r="P922" s="6" t="n"/>
      <c r="Q922" s="6" t="n"/>
      <c r="R922" s="6" t="n"/>
      <c r="S922" s="6" t="n"/>
      <c r="T922" s="6" t="n"/>
      <c r="U922" s="6" t="n"/>
      <c r="V922" s="6" t="n"/>
      <c r="W922" s="6" t="n"/>
      <c r="X922" s="6" t="n"/>
      <c r="Y922" s="6" t="n"/>
      <c r="Z922" s="6" t="n"/>
      <c r="AA922" s="6" t="n"/>
      <c r="AB922" s="6" t="n"/>
    </row>
    <row r="923" ht="19.5" customHeight="1" s="92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6" t="n"/>
      <c r="P923" s="6" t="n"/>
      <c r="Q923" s="6" t="n"/>
      <c r="R923" s="6" t="n"/>
      <c r="S923" s="6" t="n"/>
      <c r="T923" s="6" t="n"/>
      <c r="U923" s="6" t="n"/>
      <c r="V923" s="6" t="n"/>
      <c r="W923" s="6" t="n"/>
      <c r="X923" s="6" t="n"/>
      <c r="Y923" s="6" t="n"/>
      <c r="Z923" s="6" t="n"/>
      <c r="AA923" s="6" t="n"/>
      <c r="AB923" s="6" t="n"/>
    </row>
    <row r="924" ht="19.5" customHeight="1" s="92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6" t="n"/>
      <c r="P924" s="6" t="n"/>
      <c r="Q924" s="6" t="n"/>
      <c r="R924" s="6" t="n"/>
      <c r="S924" s="6" t="n"/>
      <c r="T924" s="6" t="n"/>
      <c r="U924" s="6" t="n"/>
      <c r="V924" s="6" t="n"/>
      <c r="W924" s="6" t="n"/>
      <c r="X924" s="6" t="n"/>
      <c r="Y924" s="6" t="n"/>
      <c r="Z924" s="6" t="n"/>
      <c r="AA924" s="6" t="n"/>
      <c r="AB924" s="6" t="n"/>
    </row>
    <row r="925" ht="19.5" customHeight="1" s="92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6" t="n"/>
      <c r="P925" s="6" t="n"/>
      <c r="Q925" s="6" t="n"/>
      <c r="R925" s="6" t="n"/>
      <c r="S925" s="6" t="n"/>
      <c r="T925" s="6" t="n"/>
      <c r="U925" s="6" t="n"/>
      <c r="V925" s="6" t="n"/>
      <c r="W925" s="6" t="n"/>
      <c r="X925" s="6" t="n"/>
      <c r="Y925" s="6" t="n"/>
      <c r="Z925" s="6" t="n"/>
      <c r="AA925" s="6" t="n"/>
      <c r="AB925" s="6" t="n"/>
    </row>
    <row r="926" ht="19.5" customHeight="1" s="92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6" t="n"/>
      <c r="P926" s="6" t="n"/>
      <c r="Q926" s="6" t="n"/>
      <c r="R926" s="6" t="n"/>
      <c r="S926" s="6" t="n"/>
      <c r="T926" s="6" t="n"/>
      <c r="U926" s="6" t="n"/>
      <c r="V926" s="6" t="n"/>
      <c r="W926" s="6" t="n"/>
      <c r="X926" s="6" t="n"/>
      <c r="Y926" s="6" t="n"/>
      <c r="Z926" s="6" t="n"/>
      <c r="AA926" s="6" t="n"/>
      <c r="AB926" s="6" t="n"/>
    </row>
    <row r="927" ht="19.5" customHeight="1" s="92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6" t="n"/>
      <c r="P927" s="6" t="n"/>
      <c r="Q927" s="6" t="n"/>
      <c r="R927" s="6" t="n"/>
      <c r="S927" s="6" t="n"/>
      <c r="T927" s="6" t="n"/>
      <c r="U927" s="6" t="n"/>
      <c r="V927" s="6" t="n"/>
      <c r="W927" s="6" t="n"/>
      <c r="X927" s="6" t="n"/>
      <c r="Y927" s="6" t="n"/>
      <c r="Z927" s="6" t="n"/>
      <c r="AA927" s="6" t="n"/>
      <c r="AB927" s="6" t="n"/>
    </row>
    <row r="928" ht="19.5" customHeight="1" s="92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6" t="n"/>
      <c r="P928" s="6" t="n"/>
      <c r="Q928" s="6" t="n"/>
      <c r="R928" s="6" t="n"/>
      <c r="S928" s="6" t="n"/>
      <c r="T928" s="6" t="n"/>
      <c r="U928" s="6" t="n"/>
      <c r="V928" s="6" t="n"/>
      <c r="W928" s="6" t="n"/>
      <c r="X928" s="6" t="n"/>
      <c r="Y928" s="6" t="n"/>
      <c r="Z928" s="6" t="n"/>
      <c r="AA928" s="6" t="n"/>
      <c r="AB928" s="6" t="n"/>
    </row>
    <row r="929" ht="19.5" customHeight="1" s="92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6" t="n"/>
      <c r="P929" s="6" t="n"/>
      <c r="Q929" s="6" t="n"/>
      <c r="R929" s="6" t="n"/>
      <c r="S929" s="6" t="n"/>
      <c r="T929" s="6" t="n"/>
      <c r="U929" s="6" t="n"/>
      <c r="V929" s="6" t="n"/>
      <c r="W929" s="6" t="n"/>
      <c r="X929" s="6" t="n"/>
      <c r="Y929" s="6" t="n"/>
      <c r="Z929" s="6" t="n"/>
      <c r="AA929" s="6" t="n"/>
      <c r="AB929" s="6" t="n"/>
    </row>
    <row r="930" ht="19.5" customHeight="1" s="92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6" t="n"/>
      <c r="P930" s="6" t="n"/>
      <c r="Q930" s="6" t="n"/>
      <c r="R930" s="6" t="n"/>
      <c r="S930" s="6" t="n"/>
      <c r="T930" s="6" t="n"/>
      <c r="U930" s="6" t="n"/>
      <c r="V930" s="6" t="n"/>
      <c r="W930" s="6" t="n"/>
      <c r="X930" s="6" t="n"/>
      <c r="Y930" s="6" t="n"/>
      <c r="Z930" s="6" t="n"/>
      <c r="AA930" s="6" t="n"/>
      <c r="AB930" s="6" t="n"/>
    </row>
    <row r="931" ht="19.5" customHeight="1" s="92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6" t="n"/>
      <c r="P931" s="6" t="n"/>
      <c r="Q931" s="6" t="n"/>
      <c r="R931" s="6" t="n"/>
      <c r="S931" s="6" t="n"/>
      <c r="T931" s="6" t="n"/>
      <c r="U931" s="6" t="n"/>
      <c r="V931" s="6" t="n"/>
      <c r="W931" s="6" t="n"/>
      <c r="X931" s="6" t="n"/>
      <c r="Y931" s="6" t="n"/>
      <c r="Z931" s="6" t="n"/>
      <c r="AA931" s="6" t="n"/>
      <c r="AB931" s="6" t="n"/>
    </row>
    <row r="932" ht="19.5" customHeight="1" s="92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6" t="n"/>
      <c r="P932" s="6" t="n"/>
      <c r="Q932" s="6" t="n"/>
      <c r="R932" s="6" t="n"/>
      <c r="S932" s="6" t="n"/>
      <c r="T932" s="6" t="n"/>
      <c r="U932" s="6" t="n"/>
      <c r="V932" s="6" t="n"/>
      <c r="W932" s="6" t="n"/>
      <c r="X932" s="6" t="n"/>
      <c r="Y932" s="6" t="n"/>
      <c r="Z932" s="6" t="n"/>
      <c r="AA932" s="6" t="n"/>
      <c r="AB932" s="6" t="n"/>
    </row>
    <row r="933" ht="19.5" customHeight="1" s="92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6" t="n"/>
      <c r="P933" s="6" t="n"/>
      <c r="Q933" s="6" t="n"/>
      <c r="R933" s="6" t="n"/>
      <c r="S933" s="6" t="n"/>
      <c r="T933" s="6" t="n"/>
      <c r="U933" s="6" t="n"/>
      <c r="V933" s="6" t="n"/>
      <c r="W933" s="6" t="n"/>
      <c r="X933" s="6" t="n"/>
      <c r="Y933" s="6" t="n"/>
      <c r="Z933" s="6" t="n"/>
      <c r="AA933" s="6" t="n"/>
      <c r="AB933" s="6" t="n"/>
    </row>
    <row r="934" ht="19.5" customHeight="1" s="92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6" t="n"/>
      <c r="P934" s="6" t="n"/>
      <c r="Q934" s="6" t="n"/>
      <c r="R934" s="6" t="n"/>
      <c r="S934" s="6" t="n"/>
      <c r="T934" s="6" t="n"/>
      <c r="U934" s="6" t="n"/>
      <c r="V934" s="6" t="n"/>
      <c r="W934" s="6" t="n"/>
      <c r="X934" s="6" t="n"/>
      <c r="Y934" s="6" t="n"/>
      <c r="Z934" s="6" t="n"/>
      <c r="AA934" s="6" t="n"/>
      <c r="AB934" s="6" t="n"/>
    </row>
    <row r="935" ht="19.5" customHeight="1" s="92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6" t="n"/>
      <c r="P935" s="6" t="n"/>
      <c r="Q935" s="6" t="n"/>
      <c r="R935" s="6" t="n"/>
      <c r="S935" s="6" t="n"/>
      <c r="T935" s="6" t="n"/>
      <c r="U935" s="6" t="n"/>
      <c r="V935" s="6" t="n"/>
      <c r="W935" s="6" t="n"/>
      <c r="X935" s="6" t="n"/>
      <c r="Y935" s="6" t="n"/>
      <c r="Z935" s="6" t="n"/>
      <c r="AA935" s="6" t="n"/>
      <c r="AB935" s="6" t="n"/>
    </row>
    <row r="936" ht="19.5" customHeight="1" s="92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6" t="n"/>
      <c r="P936" s="6" t="n"/>
      <c r="Q936" s="6" t="n"/>
      <c r="R936" s="6" t="n"/>
      <c r="S936" s="6" t="n"/>
      <c r="T936" s="6" t="n"/>
      <c r="U936" s="6" t="n"/>
      <c r="V936" s="6" t="n"/>
      <c r="W936" s="6" t="n"/>
      <c r="X936" s="6" t="n"/>
      <c r="Y936" s="6" t="n"/>
      <c r="Z936" s="6" t="n"/>
      <c r="AA936" s="6" t="n"/>
      <c r="AB936" s="6" t="n"/>
    </row>
    <row r="937" ht="19.5" customHeight="1" s="92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6" t="n"/>
      <c r="P937" s="6" t="n"/>
      <c r="Q937" s="6" t="n"/>
      <c r="R937" s="6" t="n"/>
      <c r="S937" s="6" t="n"/>
      <c r="T937" s="6" t="n"/>
      <c r="U937" s="6" t="n"/>
      <c r="V937" s="6" t="n"/>
      <c r="W937" s="6" t="n"/>
      <c r="X937" s="6" t="n"/>
      <c r="Y937" s="6" t="n"/>
      <c r="Z937" s="6" t="n"/>
      <c r="AA937" s="6" t="n"/>
      <c r="AB937" s="6" t="n"/>
    </row>
    <row r="938" ht="19.5" customHeight="1" s="92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6" t="n"/>
      <c r="P938" s="6" t="n"/>
      <c r="Q938" s="6" t="n"/>
      <c r="R938" s="6" t="n"/>
      <c r="S938" s="6" t="n"/>
      <c r="T938" s="6" t="n"/>
      <c r="U938" s="6" t="n"/>
      <c r="V938" s="6" t="n"/>
      <c r="W938" s="6" t="n"/>
      <c r="X938" s="6" t="n"/>
      <c r="Y938" s="6" t="n"/>
      <c r="Z938" s="6" t="n"/>
      <c r="AA938" s="6" t="n"/>
      <c r="AB938" s="6" t="n"/>
    </row>
    <row r="939" ht="19.5" customHeight="1" s="92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6" t="n"/>
      <c r="P939" s="6" t="n"/>
      <c r="Q939" s="6" t="n"/>
      <c r="R939" s="6" t="n"/>
      <c r="S939" s="6" t="n"/>
      <c r="T939" s="6" t="n"/>
      <c r="U939" s="6" t="n"/>
      <c r="V939" s="6" t="n"/>
      <c r="W939" s="6" t="n"/>
      <c r="X939" s="6" t="n"/>
      <c r="Y939" s="6" t="n"/>
      <c r="Z939" s="6" t="n"/>
      <c r="AA939" s="6" t="n"/>
      <c r="AB939" s="6" t="n"/>
    </row>
    <row r="940" ht="19.5" customHeight="1" s="92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6" t="n"/>
      <c r="P940" s="6" t="n"/>
      <c r="Q940" s="6" t="n"/>
      <c r="R940" s="6" t="n"/>
      <c r="S940" s="6" t="n"/>
      <c r="T940" s="6" t="n"/>
      <c r="U940" s="6" t="n"/>
      <c r="V940" s="6" t="n"/>
      <c r="W940" s="6" t="n"/>
      <c r="X940" s="6" t="n"/>
      <c r="Y940" s="6" t="n"/>
      <c r="Z940" s="6" t="n"/>
      <c r="AA940" s="6" t="n"/>
      <c r="AB940" s="6" t="n"/>
    </row>
    <row r="941" ht="19.5" customHeight="1" s="92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6" t="n"/>
      <c r="P941" s="6" t="n"/>
      <c r="Q941" s="6" t="n"/>
      <c r="R941" s="6" t="n"/>
      <c r="S941" s="6" t="n"/>
      <c r="T941" s="6" t="n"/>
      <c r="U941" s="6" t="n"/>
      <c r="V941" s="6" t="n"/>
      <c r="W941" s="6" t="n"/>
      <c r="X941" s="6" t="n"/>
      <c r="Y941" s="6" t="n"/>
      <c r="Z941" s="6" t="n"/>
      <c r="AA941" s="6" t="n"/>
      <c r="AB941" s="6" t="n"/>
    </row>
    <row r="942" ht="19.5" customHeight="1" s="92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6" t="n"/>
      <c r="P942" s="6" t="n"/>
      <c r="Q942" s="6" t="n"/>
      <c r="R942" s="6" t="n"/>
      <c r="S942" s="6" t="n"/>
      <c r="T942" s="6" t="n"/>
      <c r="U942" s="6" t="n"/>
      <c r="V942" s="6" t="n"/>
      <c r="W942" s="6" t="n"/>
      <c r="X942" s="6" t="n"/>
      <c r="Y942" s="6" t="n"/>
      <c r="Z942" s="6" t="n"/>
      <c r="AA942" s="6" t="n"/>
      <c r="AB942" s="6" t="n"/>
    </row>
    <row r="943" ht="19.5" customHeight="1" s="92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6" t="n"/>
      <c r="P943" s="6" t="n"/>
      <c r="Q943" s="6" t="n"/>
      <c r="R943" s="6" t="n"/>
      <c r="S943" s="6" t="n"/>
      <c r="T943" s="6" t="n"/>
      <c r="U943" s="6" t="n"/>
      <c r="V943" s="6" t="n"/>
      <c r="W943" s="6" t="n"/>
      <c r="X943" s="6" t="n"/>
      <c r="Y943" s="6" t="n"/>
      <c r="Z943" s="6" t="n"/>
      <c r="AA943" s="6" t="n"/>
      <c r="AB943" s="6" t="n"/>
    </row>
    <row r="944" ht="19.5" customHeight="1" s="92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6" t="n"/>
      <c r="P944" s="6" t="n"/>
      <c r="Q944" s="6" t="n"/>
      <c r="R944" s="6" t="n"/>
      <c r="S944" s="6" t="n"/>
      <c r="T944" s="6" t="n"/>
      <c r="U944" s="6" t="n"/>
      <c r="V944" s="6" t="n"/>
      <c r="W944" s="6" t="n"/>
      <c r="X944" s="6" t="n"/>
      <c r="Y944" s="6" t="n"/>
      <c r="Z944" s="6" t="n"/>
      <c r="AA944" s="6" t="n"/>
      <c r="AB944" s="6" t="n"/>
    </row>
    <row r="945" ht="19.5" customHeight="1" s="92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6" t="n"/>
      <c r="P945" s="6" t="n"/>
      <c r="Q945" s="6" t="n"/>
      <c r="R945" s="6" t="n"/>
      <c r="S945" s="6" t="n"/>
      <c r="T945" s="6" t="n"/>
      <c r="U945" s="6" t="n"/>
      <c r="V945" s="6" t="n"/>
      <c r="W945" s="6" t="n"/>
      <c r="X945" s="6" t="n"/>
      <c r="Y945" s="6" t="n"/>
      <c r="Z945" s="6" t="n"/>
      <c r="AA945" s="6" t="n"/>
      <c r="AB945" s="6" t="n"/>
    </row>
    <row r="946" ht="19.5" customHeight="1" s="92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6" t="n"/>
      <c r="P946" s="6" t="n"/>
      <c r="Q946" s="6" t="n"/>
      <c r="R946" s="6" t="n"/>
      <c r="S946" s="6" t="n"/>
      <c r="T946" s="6" t="n"/>
      <c r="U946" s="6" t="n"/>
      <c r="V946" s="6" t="n"/>
      <c r="W946" s="6" t="n"/>
      <c r="X946" s="6" t="n"/>
      <c r="Y946" s="6" t="n"/>
      <c r="Z946" s="6" t="n"/>
      <c r="AA946" s="6" t="n"/>
      <c r="AB946" s="6" t="n"/>
    </row>
    <row r="947" ht="19.5" customHeight="1" s="92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6" t="n"/>
      <c r="P947" s="6" t="n"/>
      <c r="Q947" s="6" t="n"/>
      <c r="R947" s="6" t="n"/>
      <c r="S947" s="6" t="n"/>
      <c r="T947" s="6" t="n"/>
      <c r="U947" s="6" t="n"/>
      <c r="V947" s="6" t="n"/>
      <c r="W947" s="6" t="n"/>
      <c r="X947" s="6" t="n"/>
      <c r="Y947" s="6" t="n"/>
      <c r="Z947" s="6" t="n"/>
      <c r="AA947" s="6" t="n"/>
      <c r="AB947" s="6" t="n"/>
    </row>
    <row r="948" ht="19.5" customHeight="1" s="92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6" t="n"/>
      <c r="P948" s="6" t="n"/>
      <c r="Q948" s="6" t="n"/>
      <c r="R948" s="6" t="n"/>
      <c r="S948" s="6" t="n"/>
      <c r="T948" s="6" t="n"/>
      <c r="U948" s="6" t="n"/>
      <c r="V948" s="6" t="n"/>
      <c r="W948" s="6" t="n"/>
      <c r="X948" s="6" t="n"/>
      <c r="Y948" s="6" t="n"/>
      <c r="Z948" s="6" t="n"/>
      <c r="AA948" s="6" t="n"/>
      <c r="AB948" s="6" t="n"/>
    </row>
    <row r="949" ht="19.5" customHeight="1" s="92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6" t="n"/>
      <c r="P949" s="6" t="n"/>
      <c r="Q949" s="6" t="n"/>
      <c r="R949" s="6" t="n"/>
      <c r="S949" s="6" t="n"/>
      <c r="T949" s="6" t="n"/>
      <c r="U949" s="6" t="n"/>
      <c r="V949" s="6" t="n"/>
      <c r="W949" s="6" t="n"/>
      <c r="X949" s="6" t="n"/>
      <c r="Y949" s="6" t="n"/>
      <c r="Z949" s="6" t="n"/>
      <c r="AA949" s="6" t="n"/>
      <c r="AB949" s="6" t="n"/>
    </row>
    <row r="950" ht="19.5" customHeight="1" s="92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6" t="n"/>
      <c r="P950" s="6" t="n"/>
      <c r="Q950" s="6" t="n"/>
      <c r="R950" s="6" t="n"/>
      <c r="S950" s="6" t="n"/>
      <c r="T950" s="6" t="n"/>
      <c r="U950" s="6" t="n"/>
      <c r="V950" s="6" t="n"/>
      <c r="W950" s="6" t="n"/>
      <c r="X950" s="6" t="n"/>
      <c r="Y950" s="6" t="n"/>
      <c r="Z950" s="6" t="n"/>
      <c r="AA950" s="6" t="n"/>
      <c r="AB950" s="6" t="n"/>
    </row>
    <row r="951" ht="19.5" customHeight="1" s="92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6" t="n"/>
      <c r="P951" s="6" t="n"/>
      <c r="Q951" s="6" t="n"/>
      <c r="R951" s="6" t="n"/>
      <c r="S951" s="6" t="n"/>
      <c r="T951" s="6" t="n"/>
      <c r="U951" s="6" t="n"/>
      <c r="V951" s="6" t="n"/>
      <c r="W951" s="6" t="n"/>
      <c r="X951" s="6" t="n"/>
      <c r="Y951" s="6" t="n"/>
      <c r="Z951" s="6" t="n"/>
      <c r="AA951" s="6" t="n"/>
      <c r="AB951" s="6" t="n"/>
    </row>
    <row r="952" ht="19.5" customHeight="1" s="92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6" t="n"/>
      <c r="P952" s="6" t="n"/>
      <c r="Q952" s="6" t="n"/>
      <c r="R952" s="6" t="n"/>
      <c r="S952" s="6" t="n"/>
      <c r="T952" s="6" t="n"/>
      <c r="U952" s="6" t="n"/>
      <c r="V952" s="6" t="n"/>
      <c r="W952" s="6" t="n"/>
      <c r="X952" s="6" t="n"/>
      <c r="Y952" s="6" t="n"/>
      <c r="Z952" s="6" t="n"/>
      <c r="AA952" s="6" t="n"/>
      <c r="AB952" s="6" t="n"/>
    </row>
    <row r="953" ht="19.5" customHeight="1" s="92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6" t="n"/>
      <c r="P953" s="6" t="n"/>
      <c r="Q953" s="6" t="n"/>
      <c r="R953" s="6" t="n"/>
      <c r="S953" s="6" t="n"/>
      <c r="T953" s="6" t="n"/>
      <c r="U953" s="6" t="n"/>
      <c r="V953" s="6" t="n"/>
      <c r="W953" s="6" t="n"/>
      <c r="X953" s="6" t="n"/>
      <c r="Y953" s="6" t="n"/>
      <c r="Z953" s="6" t="n"/>
      <c r="AA953" s="6" t="n"/>
      <c r="AB953" s="6" t="n"/>
    </row>
    <row r="954" ht="19.5" customHeight="1" s="92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6" t="n"/>
      <c r="P954" s="6" t="n"/>
      <c r="Q954" s="6" t="n"/>
      <c r="R954" s="6" t="n"/>
      <c r="S954" s="6" t="n"/>
      <c r="T954" s="6" t="n"/>
      <c r="U954" s="6" t="n"/>
      <c r="V954" s="6" t="n"/>
      <c r="W954" s="6" t="n"/>
      <c r="X954" s="6" t="n"/>
      <c r="Y954" s="6" t="n"/>
      <c r="Z954" s="6" t="n"/>
      <c r="AA954" s="6" t="n"/>
      <c r="AB954" s="6" t="n"/>
    </row>
    <row r="955" ht="19.5" customHeight="1" s="92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6" t="n"/>
      <c r="P955" s="6" t="n"/>
      <c r="Q955" s="6" t="n"/>
      <c r="R955" s="6" t="n"/>
      <c r="S955" s="6" t="n"/>
      <c r="T955" s="6" t="n"/>
      <c r="U955" s="6" t="n"/>
      <c r="V955" s="6" t="n"/>
      <c r="W955" s="6" t="n"/>
      <c r="X955" s="6" t="n"/>
      <c r="Y955" s="6" t="n"/>
      <c r="Z955" s="6" t="n"/>
      <c r="AA955" s="6" t="n"/>
      <c r="AB955" s="6" t="n"/>
    </row>
    <row r="956" ht="19.5" customHeight="1" s="92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6" t="n"/>
      <c r="P956" s="6" t="n"/>
      <c r="Q956" s="6" t="n"/>
      <c r="R956" s="6" t="n"/>
      <c r="S956" s="6" t="n"/>
      <c r="T956" s="6" t="n"/>
      <c r="U956" s="6" t="n"/>
      <c r="V956" s="6" t="n"/>
      <c r="W956" s="6" t="n"/>
      <c r="X956" s="6" t="n"/>
      <c r="Y956" s="6" t="n"/>
      <c r="Z956" s="6" t="n"/>
      <c r="AA956" s="6" t="n"/>
      <c r="AB956" s="6" t="n"/>
    </row>
    <row r="957" ht="19.5" customHeight="1" s="92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6" t="n"/>
      <c r="P957" s="6" t="n"/>
      <c r="Q957" s="6" t="n"/>
      <c r="R957" s="6" t="n"/>
      <c r="S957" s="6" t="n"/>
      <c r="T957" s="6" t="n"/>
      <c r="U957" s="6" t="n"/>
      <c r="V957" s="6" t="n"/>
      <c r="W957" s="6" t="n"/>
      <c r="X957" s="6" t="n"/>
      <c r="Y957" s="6" t="n"/>
      <c r="Z957" s="6" t="n"/>
      <c r="AA957" s="6" t="n"/>
      <c r="AB957" s="6" t="n"/>
    </row>
    <row r="958" ht="19.5" customHeight="1" s="92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6" t="n"/>
      <c r="P958" s="6" t="n"/>
      <c r="Q958" s="6" t="n"/>
      <c r="R958" s="6" t="n"/>
      <c r="S958" s="6" t="n"/>
      <c r="T958" s="6" t="n"/>
      <c r="U958" s="6" t="n"/>
      <c r="V958" s="6" t="n"/>
      <c r="W958" s="6" t="n"/>
      <c r="X958" s="6" t="n"/>
      <c r="Y958" s="6" t="n"/>
      <c r="Z958" s="6" t="n"/>
      <c r="AA958" s="6" t="n"/>
      <c r="AB958" s="6" t="n"/>
    </row>
    <row r="959" ht="19.5" customHeight="1" s="92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6" t="n"/>
      <c r="P959" s="6" t="n"/>
      <c r="Q959" s="6" t="n"/>
      <c r="R959" s="6" t="n"/>
      <c r="S959" s="6" t="n"/>
      <c r="T959" s="6" t="n"/>
      <c r="U959" s="6" t="n"/>
      <c r="V959" s="6" t="n"/>
      <c r="W959" s="6" t="n"/>
      <c r="X959" s="6" t="n"/>
      <c r="Y959" s="6" t="n"/>
      <c r="Z959" s="6" t="n"/>
      <c r="AA959" s="6" t="n"/>
      <c r="AB959" s="6" t="n"/>
    </row>
    <row r="960" ht="19.5" customHeight="1" s="92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6" t="n"/>
      <c r="P960" s="6" t="n"/>
      <c r="Q960" s="6" t="n"/>
      <c r="R960" s="6" t="n"/>
      <c r="S960" s="6" t="n"/>
      <c r="T960" s="6" t="n"/>
      <c r="U960" s="6" t="n"/>
      <c r="V960" s="6" t="n"/>
      <c r="W960" s="6" t="n"/>
      <c r="X960" s="6" t="n"/>
      <c r="Y960" s="6" t="n"/>
      <c r="Z960" s="6" t="n"/>
      <c r="AA960" s="6" t="n"/>
      <c r="AB960" s="6" t="n"/>
    </row>
    <row r="961" ht="19.5" customHeight="1" s="92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6" t="n"/>
      <c r="P961" s="6" t="n"/>
      <c r="Q961" s="6" t="n"/>
      <c r="R961" s="6" t="n"/>
      <c r="S961" s="6" t="n"/>
      <c r="T961" s="6" t="n"/>
      <c r="U961" s="6" t="n"/>
      <c r="V961" s="6" t="n"/>
      <c r="W961" s="6" t="n"/>
      <c r="X961" s="6" t="n"/>
      <c r="Y961" s="6" t="n"/>
      <c r="Z961" s="6" t="n"/>
      <c r="AA961" s="6" t="n"/>
      <c r="AB961" s="6" t="n"/>
    </row>
    <row r="962" ht="19.5" customHeight="1" s="92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6" t="n"/>
      <c r="P962" s="6" t="n"/>
      <c r="Q962" s="6" t="n"/>
      <c r="R962" s="6" t="n"/>
      <c r="S962" s="6" t="n"/>
      <c r="T962" s="6" t="n"/>
      <c r="U962" s="6" t="n"/>
      <c r="V962" s="6" t="n"/>
      <c r="W962" s="6" t="n"/>
      <c r="X962" s="6" t="n"/>
      <c r="Y962" s="6" t="n"/>
      <c r="Z962" s="6" t="n"/>
      <c r="AA962" s="6" t="n"/>
      <c r="AB962" s="6" t="n"/>
    </row>
    <row r="963" ht="19.5" customHeight="1" s="92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6" t="n"/>
      <c r="P963" s="6" t="n"/>
      <c r="Q963" s="6" t="n"/>
      <c r="R963" s="6" t="n"/>
      <c r="S963" s="6" t="n"/>
      <c r="T963" s="6" t="n"/>
      <c r="U963" s="6" t="n"/>
      <c r="V963" s="6" t="n"/>
      <c r="W963" s="6" t="n"/>
      <c r="X963" s="6" t="n"/>
      <c r="Y963" s="6" t="n"/>
      <c r="Z963" s="6" t="n"/>
      <c r="AA963" s="6" t="n"/>
      <c r="AB963" s="6" t="n"/>
    </row>
    <row r="964" ht="19.5" customHeight="1" s="92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6" t="n"/>
      <c r="P964" s="6" t="n"/>
      <c r="Q964" s="6" t="n"/>
      <c r="R964" s="6" t="n"/>
      <c r="S964" s="6" t="n"/>
      <c r="T964" s="6" t="n"/>
      <c r="U964" s="6" t="n"/>
      <c r="V964" s="6" t="n"/>
      <c r="W964" s="6" t="n"/>
      <c r="X964" s="6" t="n"/>
      <c r="Y964" s="6" t="n"/>
      <c r="Z964" s="6" t="n"/>
      <c r="AA964" s="6" t="n"/>
      <c r="AB964" s="6" t="n"/>
    </row>
    <row r="965" ht="19.5" customHeight="1" s="92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6" t="n"/>
      <c r="P965" s="6" t="n"/>
      <c r="Q965" s="6" t="n"/>
      <c r="R965" s="6" t="n"/>
      <c r="S965" s="6" t="n"/>
      <c r="T965" s="6" t="n"/>
      <c r="U965" s="6" t="n"/>
      <c r="V965" s="6" t="n"/>
      <c r="W965" s="6" t="n"/>
      <c r="X965" s="6" t="n"/>
      <c r="Y965" s="6" t="n"/>
      <c r="Z965" s="6" t="n"/>
      <c r="AA965" s="6" t="n"/>
      <c r="AB965" s="6" t="n"/>
    </row>
    <row r="966" ht="19.5" customHeight="1" s="92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6" t="n"/>
      <c r="P966" s="6" t="n"/>
      <c r="Q966" s="6" t="n"/>
      <c r="R966" s="6" t="n"/>
      <c r="S966" s="6" t="n"/>
      <c r="T966" s="6" t="n"/>
      <c r="U966" s="6" t="n"/>
      <c r="V966" s="6" t="n"/>
      <c r="W966" s="6" t="n"/>
      <c r="X966" s="6" t="n"/>
      <c r="Y966" s="6" t="n"/>
      <c r="Z966" s="6" t="n"/>
      <c r="AA966" s="6" t="n"/>
      <c r="AB966" s="6" t="n"/>
    </row>
    <row r="967" ht="19.5" customHeight="1" s="92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6" t="n"/>
      <c r="P967" s="6" t="n"/>
      <c r="Q967" s="6" t="n"/>
      <c r="R967" s="6" t="n"/>
      <c r="S967" s="6" t="n"/>
      <c r="T967" s="6" t="n"/>
      <c r="U967" s="6" t="n"/>
      <c r="V967" s="6" t="n"/>
      <c r="W967" s="6" t="n"/>
      <c r="X967" s="6" t="n"/>
      <c r="Y967" s="6" t="n"/>
      <c r="Z967" s="6" t="n"/>
      <c r="AA967" s="6" t="n"/>
      <c r="AB967" s="6" t="n"/>
    </row>
    <row r="968" ht="19.5" customHeight="1" s="92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6" t="n"/>
      <c r="P968" s="6" t="n"/>
      <c r="Q968" s="6" t="n"/>
      <c r="R968" s="6" t="n"/>
      <c r="S968" s="6" t="n"/>
      <c r="T968" s="6" t="n"/>
      <c r="U968" s="6" t="n"/>
      <c r="V968" s="6" t="n"/>
      <c r="W968" s="6" t="n"/>
      <c r="X968" s="6" t="n"/>
      <c r="Y968" s="6" t="n"/>
      <c r="Z968" s="6" t="n"/>
      <c r="AA968" s="6" t="n"/>
      <c r="AB968" s="6" t="n"/>
    </row>
    <row r="969" ht="19.5" customHeight="1" s="92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6" t="n"/>
      <c r="P969" s="6" t="n"/>
      <c r="Q969" s="6" t="n"/>
      <c r="R969" s="6" t="n"/>
      <c r="S969" s="6" t="n"/>
      <c r="T969" s="6" t="n"/>
      <c r="U969" s="6" t="n"/>
      <c r="V969" s="6" t="n"/>
      <c r="W969" s="6" t="n"/>
      <c r="X969" s="6" t="n"/>
      <c r="Y969" s="6" t="n"/>
      <c r="Z969" s="6" t="n"/>
      <c r="AA969" s="6" t="n"/>
      <c r="AB969" s="6" t="n"/>
    </row>
    <row r="970" ht="19.5" customHeight="1" s="92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6" t="n"/>
      <c r="P970" s="6" t="n"/>
      <c r="Q970" s="6" t="n"/>
      <c r="R970" s="6" t="n"/>
      <c r="S970" s="6" t="n"/>
      <c r="T970" s="6" t="n"/>
      <c r="U970" s="6" t="n"/>
      <c r="V970" s="6" t="n"/>
      <c r="W970" s="6" t="n"/>
      <c r="X970" s="6" t="n"/>
      <c r="Y970" s="6" t="n"/>
      <c r="Z970" s="6" t="n"/>
      <c r="AA970" s="6" t="n"/>
      <c r="AB970" s="6" t="n"/>
    </row>
    <row r="971" ht="19.5" customHeight="1" s="92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6" t="n"/>
      <c r="P971" s="6" t="n"/>
      <c r="Q971" s="6" t="n"/>
      <c r="R971" s="6" t="n"/>
      <c r="S971" s="6" t="n"/>
      <c r="T971" s="6" t="n"/>
      <c r="U971" s="6" t="n"/>
      <c r="V971" s="6" t="n"/>
      <c r="W971" s="6" t="n"/>
      <c r="X971" s="6" t="n"/>
      <c r="Y971" s="6" t="n"/>
      <c r="Z971" s="6" t="n"/>
      <c r="AA971" s="6" t="n"/>
      <c r="AB971" s="6" t="n"/>
    </row>
    <row r="972" ht="19.5" customHeight="1" s="92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6" t="n"/>
      <c r="P972" s="6" t="n"/>
      <c r="Q972" s="6" t="n"/>
      <c r="R972" s="6" t="n"/>
      <c r="S972" s="6" t="n"/>
      <c r="T972" s="6" t="n"/>
      <c r="U972" s="6" t="n"/>
      <c r="V972" s="6" t="n"/>
      <c r="W972" s="6" t="n"/>
      <c r="X972" s="6" t="n"/>
      <c r="Y972" s="6" t="n"/>
      <c r="Z972" s="6" t="n"/>
      <c r="AA972" s="6" t="n"/>
      <c r="AB972" s="6" t="n"/>
    </row>
    <row r="973" ht="19.5" customHeight="1" s="92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6" t="n"/>
      <c r="P973" s="6" t="n"/>
      <c r="Q973" s="6" t="n"/>
      <c r="R973" s="6" t="n"/>
      <c r="S973" s="6" t="n"/>
      <c r="T973" s="6" t="n"/>
      <c r="U973" s="6" t="n"/>
      <c r="V973" s="6" t="n"/>
      <c r="W973" s="6" t="n"/>
      <c r="X973" s="6" t="n"/>
      <c r="Y973" s="6" t="n"/>
      <c r="Z973" s="6" t="n"/>
      <c r="AA973" s="6" t="n"/>
      <c r="AB973" s="6" t="n"/>
    </row>
    <row r="974" ht="19.5" customHeight="1" s="92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6" t="n"/>
      <c r="P974" s="6" t="n"/>
      <c r="Q974" s="6" t="n"/>
      <c r="R974" s="6" t="n"/>
      <c r="S974" s="6" t="n"/>
      <c r="T974" s="6" t="n"/>
      <c r="U974" s="6" t="n"/>
      <c r="V974" s="6" t="n"/>
      <c r="W974" s="6" t="n"/>
      <c r="X974" s="6" t="n"/>
      <c r="Y974" s="6" t="n"/>
      <c r="Z974" s="6" t="n"/>
      <c r="AA974" s="6" t="n"/>
      <c r="AB974" s="6" t="n"/>
    </row>
    <row r="975" ht="19.5" customHeight="1" s="92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6" t="n"/>
      <c r="P975" s="6" t="n"/>
      <c r="Q975" s="6" t="n"/>
      <c r="R975" s="6" t="n"/>
      <c r="S975" s="6" t="n"/>
      <c r="T975" s="6" t="n"/>
      <c r="U975" s="6" t="n"/>
      <c r="V975" s="6" t="n"/>
      <c r="W975" s="6" t="n"/>
      <c r="X975" s="6" t="n"/>
      <c r="Y975" s="6" t="n"/>
      <c r="Z975" s="6" t="n"/>
      <c r="AA975" s="6" t="n"/>
      <c r="AB975" s="6" t="n"/>
    </row>
    <row r="976" ht="19.5" customHeight="1" s="92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6" t="n"/>
      <c r="P976" s="6" t="n"/>
      <c r="Q976" s="6" t="n"/>
      <c r="R976" s="6" t="n"/>
      <c r="S976" s="6" t="n"/>
      <c r="T976" s="6" t="n"/>
      <c r="U976" s="6" t="n"/>
      <c r="V976" s="6" t="n"/>
      <c r="W976" s="6" t="n"/>
      <c r="X976" s="6" t="n"/>
      <c r="Y976" s="6" t="n"/>
      <c r="Z976" s="6" t="n"/>
      <c r="AA976" s="6" t="n"/>
      <c r="AB976" s="6" t="n"/>
    </row>
    <row r="977" ht="19.5" customHeight="1" s="92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6" t="n"/>
      <c r="P977" s="6" t="n"/>
      <c r="Q977" s="6" t="n"/>
      <c r="R977" s="6" t="n"/>
      <c r="S977" s="6" t="n"/>
      <c r="T977" s="6" t="n"/>
      <c r="U977" s="6" t="n"/>
      <c r="V977" s="6" t="n"/>
      <c r="W977" s="6" t="n"/>
      <c r="X977" s="6" t="n"/>
      <c r="Y977" s="6" t="n"/>
      <c r="Z977" s="6" t="n"/>
      <c r="AA977" s="6" t="n"/>
      <c r="AB977" s="6" t="n"/>
    </row>
    <row r="978" ht="19.5" customHeight="1" s="92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6" t="n"/>
      <c r="P978" s="6" t="n"/>
      <c r="Q978" s="6" t="n"/>
      <c r="R978" s="6" t="n"/>
      <c r="S978" s="6" t="n"/>
      <c r="T978" s="6" t="n"/>
      <c r="U978" s="6" t="n"/>
      <c r="V978" s="6" t="n"/>
      <c r="W978" s="6" t="n"/>
      <c r="X978" s="6" t="n"/>
      <c r="Y978" s="6" t="n"/>
      <c r="Z978" s="6" t="n"/>
      <c r="AA978" s="6" t="n"/>
      <c r="AB978" s="6" t="n"/>
    </row>
    <row r="979" ht="19.5" customHeight="1" s="92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6" t="n"/>
      <c r="P979" s="6" t="n"/>
      <c r="Q979" s="6" t="n"/>
      <c r="R979" s="6" t="n"/>
      <c r="S979" s="6" t="n"/>
      <c r="T979" s="6" t="n"/>
      <c r="U979" s="6" t="n"/>
      <c r="V979" s="6" t="n"/>
      <c r="W979" s="6" t="n"/>
      <c r="X979" s="6" t="n"/>
      <c r="Y979" s="6" t="n"/>
      <c r="Z979" s="6" t="n"/>
      <c r="AA979" s="6" t="n"/>
      <c r="AB979" s="6" t="n"/>
    </row>
    <row r="980" ht="19.5" customHeight="1" s="92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6" t="n"/>
      <c r="P980" s="6" t="n"/>
      <c r="Q980" s="6" t="n"/>
      <c r="R980" s="6" t="n"/>
      <c r="S980" s="6" t="n"/>
      <c r="T980" s="6" t="n"/>
      <c r="U980" s="6" t="n"/>
      <c r="V980" s="6" t="n"/>
      <c r="W980" s="6" t="n"/>
      <c r="X980" s="6" t="n"/>
      <c r="Y980" s="6" t="n"/>
      <c r="Z980" s="6" t="n"/>
      <c r="AA980" s="6" t="n"/>
      <c r="AB980" s="6" t="n"/>
    </row>
    <row r="981" ht="19.5" customHeight="1" s="92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6" t="n"/>
      <c r="P981" s="6" t="n"/>
      <c r="Q981" s="6" t="n"/>
      <c r="R981" s="6" t="n"/>
      <c r="S981" s="6" t="n"/>
      <c r="T981" s="6" t="n"/>
      <c r="U981" s="6" t="n"/>
      <c r="V981" s="6" t="n"/>
      <c r="W981" s="6" t="n"/>
      <c r="X981" s="6" t="n"/>
      <c r="Y981" s="6" t="n"/>
      <c r="Z981" s="6" t="n"/>
      <c r="AA981" s="6" t="n"/>
      <c r="AB981" s="6" t="n"/>
    </row>
    <row r="982" ht="19.5" customHeight="1" s="92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6" t="n"/>
      <c r="P982" s="6" t="n"/>
      <c r="Q982" s="6" t="n"/>
      <c r="R982" s="6" t="n"/>
      <c r="S982" s="6" t="n"/>
      <c r="T982" s="6" t="n"/>
      <c r="U982" s="6" t="n"/>
      <c r="V982" s="6" t="n"/>
      <c r="W982" s="6" t="n"/>
      <c r="X982" s="6" t="n"/>
      <c r="Y982" s="6" t="n"/>
      <c r="Z982" s="6" t="n"/>
      <c r="AA982" s="6" t="n"/>
      <c r="AB982" s="6" t="n"/>
    </row>
    <row r="983" ht="19.5" customHeight="1" s="92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6" t="n"/>
      <c r="P983" s="6" t="n"/>
      <c r="Q983" s="6" t="n"/>
      <c r="R983" s="6" t="n"/>
      <c r="S983" s="6" t="n"/>
      <c r="T983" s="6" t="n"/>
      <c r="U983" s="6" t="n"/>
      <c r="V983" s="6" t="n"/>
      <c r="W983" s="6" t="n"/>
      <c r="X983" s="6" t="n"/>
      <c r="Y983" s="6" t="n"/>
      <c r="Z983" s="6" t="n"/>
      <c r="AA983" s="6" t="n"/>
      <c r="AB983" s="6" t="n"/>
    </row>
    <row r="984" ht="19.5" customHeight="1" s="92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6" t="n"/>
      <c r="P984" s="6" t="n"/>
      <c r="Q984" s="6" t="n"/>
      <c r="R984" s="6" t="n"/>
      <c r="S984" s="6" t="n"/>
      <c r="T984" s="6" t="n"/>
      <c r="U984" s="6" t="n"/>
      <c r="V984" s="6" t="n"/>
      <c r="W984" s="6" t="n"/>
      <c r="X984" s="6" t="n"/>
      <c r="Y984" s="6" t="n"/>
      <c r="Z984" s="6" t="n"/>
      <c r="AA984" s="6" t="n"/>
      <c r="AB984" s="6" t="n"/>
    </row>
    <row r="985" ht="19.5" customHeight="1" s="92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6" t="n"/>
      <c r="P985" s="6" t="n"/>
      <c r="Q985" s="6" t="n"/>
      <c r="R985" s="6" t="n"/>
      <c r="S985" s="6" t="n"/>
      <c r="T985" s="6" t="n"/>
      <c r="U985" s="6" t="n"/>
      <c r="V985" s="6" t="n"/>
      <c r="W985" s="6" t="n"/>
      <c r="X985" s="6" t="n"/>
      <c r="Y985" s="6" t="n"/>
      <c r="Z985" s="6" t="n"/>
      <c r="AA985" s="6" t="n"/>
      <c r="AB985" s="6" t="n"/>
    </row>
    <row r="986" ht="19.5" customHeight="1" s="92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6" t="n"/>
      <c r="P986" s="6" t="n"/>
      <c r="Q986" s="6" t="n"/>
      <c r="R986" s="6" t="n"/>
      <c r="S986" s="6" t="n"/>
      <c r="T986" s="6" t="n"/>
      <c r="U986" s="6" t="n"/>
      <c r="V986" s="6" t="n"/>
      <c r="W986" s="6" t="n"/>
      <c r="X986" s="6" t="n"/>
      <c r="Y986" s="6" t="n"/>
      <c r="Z986" s="6" t="n"/>
      <c r="AA986" s="6" t="n"/>
      <c r="AB986" s="6" t="n"/>
    </row>
    <row r="987" ht="19.5" customHeight="1" s="92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6" t="n"/>
      <c r="P987" s="6" t="n"/>
      <c r="Q987" s="6" t="n"/>
      <c r="R987" s="6" t="n"/>
      <c r="S987" s="6" t="n"/>
      <c r="T987" s="6" t="n"/>
      <c r="U987" s="6" t="n"/>
      <c r="V987" s="6" t="n"/>
      <c r="W987" s="6" t="n"/>
      <c r="X987" s="6" t="n"/>
      <c r="Y987" s="6" t="n"/>
      <c r="Z987" s="6" t="n"/>
      <c r="AA987" s="6" t="n"/>
      <c r="AB987" s="6" t="n"/>
    </row>
    <row r="988" ht="19.5" customHeight="1" s="92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6" t="n"/>
      <c r="P988" s="6" t="n"/>
      <c r="Q988" s="6" t="n"/>
      <c r="R988" s="6" t="n"/>
      <c r="S988" s="6" t="n"/>
      <c r="T988" s="6" t="n"/>
      <c r="U988" s="6" t="n"/>
      <c r="V988" s="6" t="n"/>
      <c r="W988" s="6" t="n"/>
      <c r="X988" s="6" t="n"/>
      <c r="Y988" s="6" t="n"/>
      <c r="Z988" s="6" t="n"/>
      <c r="AA988" s="6" t="n"/>
      <c r="AB988" s="6" t="n"/>
    </row>
    <row r="989" ht="19.5" customHeight="1" s="92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6" t="n"/>
      <c r="P989" s="6" t="n"/>
      <c r="Q989" s="6" t="n"/>
      <c r="R989" s="6" t="n"/>
      <c r="S989" s="6" t="n"/>
      <c r="T989" s="6" t="n"/>
      <c r="U989" s="6" t="n"/>
      <c r="V989" s="6" t="n"/>
      <c r="W989" s="6" t="n"/>
      <c r="X989" s="6" t="n"/>
      <c r="Y989" s="6" t="n"/>
      <c r="Z989" s="6" t="n"/>
      <c r="AA989" s="6" t="n"/>
      <c r="AB989" s="6" t="n"/>
    </row>
    <row r="990" ht="19.5" customHeight="1" s="92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6" t="n"/>
      <c r="P990" s="6" t="n"/>
      <c r="Q990" s="6" t="n"/>
      <c r="R990" s="6" t="n"/>
      <c r="S990" s="6" t="n"/>
      <c r="T990" s="6" t="n"/>
      <c r="U990" s="6" t="n"/>
      <c r="V990" s="6" t="n"/>
      <c r="W990" s="6" t="n"/>
      <c r="X990" s="6" t="n"/>
      <c r="Y990" s="6" t="n"/>
      <c r="Z990" s="6" t="n"/>
      <c r="AA990" s="6" t="n"/>
      <c r="AB990" s="6" t="n"/>
    </row>
    <row r="991" ht="19.5" customHeight="1" s="92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6" t="n"/>
      <c r="P991" s="6" t="n"/>
      <c r="Q991" s="6" t="n"/>
      <c r="R991" s="6" t="n"/>
      <c r="S991" s="6" t="n"/>
      <c r="T991" s="6" t="n"/>
      <c r="U991" s="6" t="n"/>
      <c r="V991" s="6" t="n"/>
      <c r="W991" s="6" t="n"/>
      <c r="X991" s="6" t="n"/>
      <c r="Y991" s="6" t="n"/>
      <c r="Z991" s="6" t="n"/>
      <c r="AA991" s="6" t="n"/>
      <c r="AB991" s="6" t="n"/>
    </row>
    <row r="992" ht="19.5" customHeight="1" s="92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6" t="n"/>
      <c r="P992" s="6" t="n"/>
      <c r="Q992" s="6" t="n"/>
      <c r="R992" s="6" t="n"/>
      <c r="S992" s="6" t="n"/>
      <c r="T992" s="6" t="n"/>
      <c r="U992" s="6" t="n"/>
      <c r="V992" s="6" t="n"/>
      <c r="W992" s="6" t="n"/>
      <c r="X992" s="6" t="n"/>
      <c r="Y992" s="6" t="n"/>
      <c r="Z992" s="6" t="n"/>
      <c r="AA992" s="6" t="n"/>
      <c r="AB992" s="6" t="n"/>
    </row>
    <row r="993" ht="19.5" customHeight="1" s="92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6" t="n"/>
      <c r="P993" s="6" t="n"/>
      <c r="Q993" s="6" t="n"/>
      <c r="R993" s="6" t="n"/>
      <c r="S993" s="6" t="n"/>
      <c r="T993" s="6" t="n"/>
      <c r="U993" s="6" t="n"/>
      <c r="V993" s="6" t="n"/>
      <c r="W993" s="6" t="n"/>
      <c r="X993" s="6" t="n"/>
      <c r="Y993" s="6" t="n"/>
      <c r="Z993" s="6" t="n"/>
      <c r="AA993" s="6" t="n"/>
      <c r="AB993" s="6" t="n"/>
    </row>
    <row r="994" ht="19.5" customHeight="1" s="92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6" t="n"/>
      <c r="P994" s="6" t="n"/>
      <c r="Q994" s="6" t="n"/>
      <c r="R994" s="6" t="n"/>
      <c r="S994" s="6" t="n"/>
      <c r="T994" s="6" t="n"/>
      <c r="U994" s="6" t="n"/>
      <c r="V994" s="6" t="n"/>
      <c r="W994" s="6" t="n"/>
      <c r="X994" s="6" t="n"/>
      <c r="Y994" s="6" t="n"/>
      <c r="Z994" s="6" t="n"/>
      <c r="AA994" s="6" t="n"/>
      <c r="AB994" s="6" t="n"/>
    </row>
    <row r="995" ht="19.5" customHeight="1" s="92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6" t="n"/>
      <c r="P995" s="6" t="n"/>
      <c r="Q995" s="6" t="n"/>
      <c r="R995" s="6" t="n"/>
      <c r="S995" s="6" t="n"/>
      <c r="T995" s="6" t="n"/>
      <c r="U995" s="6" t="n"/>
      <c r="V995" s="6" t="n"/>
      <c r="W995" s="6" t="n"/>
      <c r="X995" s="6" t="n"/>
      <c r="Y995" s="6" t="n"/>
      <c r="Z995" s="6" t="n"/>
      <c r="AA995" s="6" t="n"/>
      <c r="AB995" s="6" t="n"/>
    </row>
    <row r="996" ht="19.5" customHeight="1" s="92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6" t="n"/>
      <c r="P996" s="6" t="n"/>
      <c r="Q996" s="6" t="n"/>
      <c r="R996" s="6" t="n"/>
      <c r="S996" s="6" t="n"/>
      <c r="T996" s="6" t="n"/>
      <c r="U996" s="6" t="n"/>
      <c r="V996" s="6" t="n"/>
      <c r="W996" s="6" t="n"/>
      <c r="X996" s="6" t="n"/>
      <c r="Y996" s="6" t="n"/>
      <c r="Z996" s="6" t="n"/>
      <c r="AA996" s="6" t="n"/>
      <c r="AB996" s="6" t="n"/>
    </row>
    <row r="997" ht="19.5" customHeight="1" s="92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6" t="n"/>
      <c r="P997" s="6" t="n"/>
      <c r="Q997" s="6" t="n"/>
      <c r="R997" s="6" t="n"/>
      <c r="S997" s="6" t="n"/>
      <c r="T997" s="6" t="n"/>
      <c r="U997" s="6" t="n"/>
      <c r="V997" s="6" t="n"/>
      <c r="W997" s="6" t="n"/>
      <c r="X997" s="6" t="n"/>
      <c r="Y997" s="6" t="n"/>
      <c r="Z997" s="6" t="n"/>
      <c r="AA997" s="6" t="n"/>
      <c r="AB997" s="6" t="n"/>
    </row>
    <row r="998" ht="19.5" customHeight="1" s="92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6" t="n"/>
      <c r="P998" s="6" t="n"/>
      <c r="Q998" s="6" t="n"/>
      <c r="R998" s="6" t="n"/>
      <c r="S998" s="6" t="n"/>
      <c r="T998" s="6" t="n"/>
      <c r="U998" s="6" t="n"/>
      <c r="V998" s="6" t="n"/>
      <c r="W998" s="6" t="n"/>
      <c r="X998" s="6" t="n"/>
      <c r="Y998" s="6" t="n"/>
      <c r="Z998" s="6" t="n"/>
      <c r="AA998" s="6" t="n"/>
      <c r="AB998" s="6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style="92" min="1" max="1"/>
    <col width="15" customWidth="1" style="92" min="2" max="2"/>
    <col width="42" customWidth="1" style="92" min="3" max="3"/>
    <col width="15" customWidth="1" style="92" min="4" max="4"/>
    <col width="15" customWidth="1" style="92" min="5" max="5"/>
    <col width="15" customWidth="1" style="92" min="6" max="6"/>
  </cols>
  <sheetData>
    <row r="1">
      <c r="A1" s="133" t="inlineStr">
        <is>
          <t>ПАРАМЕТРЫ ФИНМОДЕЛИ — кейс «Спортивные футболки»</t>
        </is>
      </c>
      <c r="B1" s="133" t="n"/>
      <c r="C1" s="133" t="inlineStr">
        <is>
          <t>D2C-бренд + маркетплейсы + B2B-экипировка. Горизонт 24 месяца, ₽</t>
        </is>
      </c>
      <c r="D1" s="133" t="n"/>
      <c r="E1" s="133" t="n"/>
      <c r="F1" s="133" t="n"/>
    </row>
    <row r="2">
      <c r="A2" s="134" t="inlineStr">
        <is>
          <t>Меняйте ТОЛЬКО жёлтые ячейки — весь ДДС пересчитается сам</t>
        </is>
      </c>
    </row>
    <row r="3">
      <c r="A3" s="135" t="inlineStr">
        <is>
          <t>1. ПРОДУКТ И ЮНИТ-ЭКОНОМИКА</t>
        </is>
      </c>
      <c r="B3" s="135" t="n"/>
      <c r="C3" s="135" t="n"/>
      <c r="D3" s="135" t="n"/>
      <c r="E3" s="135" t="n"/>
      <c r="F3" s="135" t="n"/>
    </row>
    <row r="4">
      <c r="A4" t="inlineStr">
        <is>
          <t>Товар 1 «Базовая» — средний чек</t>
        </is>
      </c>
      <c r="B4" s="136" t="n">
        <v>1890</v>
      </c>
      <c r="C4" s="137" t="inlineStr">
        <is>
          <t>розница: сайт + маркетплейсы</t>
        </is>
      </c>
    </row>
    <row r="5">
      <c r="A5" t="inlineStr">
        <is>
          <t>Товар 1 «Базовая» — себестоимость</t>
        </is>
      </c>
      <c r="B5" s="136" t="n">
        <v>680</v>
      </c>
      <c r="C5" s="137" t="inlineStr">
        <is>
          <t>полотно, пошив, печать, бирка</t>
        </is>
      </c>
    </row>
    <row r="6">
      <c r="A6" t="inlineStr">
        <is>
          <t>Товар 2 «Pro / кастом-принт» — средний чек</t>
        </is>
      </c>
      <c r="B6" s="136" t="n">
        <v>3200</v>
      </c>
      <c r="C6" s="137" t="inlineStr">
        <is>
          <t>влагоотводящая ткань, кастом</t>
        </is>
      </c>
    </row>
    <row r="7">
      <c r="A7" t="inlineStr">
        <is>
          <t>Товар 2 «Pro / кастом-принт» — себестоимость</t>
        </is>
      </c>
      <c r="B7" s="136" t="n">
        <v>1200</v>
      </c>
    </row>
    <row r="8">
      <c r="A8" t="inlineStr">
        <is>
          <t>Товар 3 «B2B командная экипировка» — чек заказа</t>
        </is>
      </c>
      <c r="B8" s="136" t="n">
        <v>42000</v>
      </c>
      <c r="C8" s="137" t="inlineStr">
        <is>
          <t>партия от 20 шт</t>
        </is>
      </c>
    </row>
    <row r="9">
      <c r="A9" t="inlineStr">
        <is>
          <t>Товар 3 — себестоимость, % от чека</t>
        </is>
      </c>
      <c r="B9" s="138" t="n">
        <v>0.55</v>
      </c>
      <c r="C9" s="137" t="inlineStr">
        <is>
          <t>опт: маржа ниже, объём выше</t>
        </is>
      </c>
    </row>
    <row r="11">
      <c r="A11" s="139" t="inlineStr">
        <is>
          <t>2. ОБЪЁМЫ ПРОДАЖ И РОСТ</t>
        </is>
      </c>
      <c r="B11" s="140" t="n">
        <v>2</v>
      </c>
      <c r="C11" s="139" t="inlineStr">
        <is>
          <t>СЦЕНАРИЙ: 1 — пессимистичный, 2 — базовый, 3 — оптимистичный →</t>
        </is>
      </c>
      <c r="D11" s="141" t="inlineStr">
        <is>
          <t>1 — пессимистичный</t>
        </is>
      </c>
      <c r="E11" s="141" t="inlineStr">
        <is>
          <t>2 — базовый</t>
        </is>
      </c>
      <c r="F11" s="141" t="inlineStr">
        <is>
          <t>3 — оптимистичный</t>
        </is>
      </c>
    </row>
    <row r="12">
      <c r="A12" t="inlineStr">
        <is>
          <t>Товар 1 — продажи в 1-й месяц, шт</t>
        </is>
      </c>
      <c r="B12" s="142">
        <f>CHOOSE($B$11,D12,E12,F12)</f>
        <v/>
      </c>
      <c r="C12" s="137" t="inlineStr">
        <is>
          <t>стартуем на маркетплейсах, без офиса</t>
        </is>
      </c>
      <c r="D12" s="143" t="n">
        <v>270</v>
      </c>
      <c r="E12" s="143" t="n">
        <v>300</v>
      </c>
      <c r="F12" s="143" t="n">
        <v>380</v>
      </c>
    </row>
    <row r="13">
      <c r="A13" t="inlineStr">
        <is>
          <t>Товар 1 — рост продаж в месяц, 1-й год</t>
        </is>
      </c>
      <c r="B13" s="144">
        <f>CHOOSE($B$11,D13,E13,F13)</f>
        <v/>
      </c>
      <c r="D13" s="138" t="n">
        <v>0.15</v>
      </c>
      <c r="E13" s="138" t="n">
        <v>0.17</v>
      </c>
      <c r="F13" s="138" t="n">
        <v>0.2</v>
      </c>
    </row>
    <row r="14">
      <c r="A14" t="inlineStr">
        <is>
          <t>Товар 1 — рост продаж в месяц, 2-й год</t>
        </is>
      </c>
      <c r="B14" s="144">
        <f>CHOOSE($B$11,D14,E14,F14)</f>
        <v/>
      </c>
      <c r="C14" s="137" t="inlineStr">
        <is>
          <t>замедление на масштабе</t>
        </is>
      </c>
      <c r="D14" s="138" t="n">
        <v>0.04</v>
      </c>
      <c r="E14" s="138" t="n">
        <v>0.05</v>
      </c>
      <c r="F14" s="138" t="n">
        <v>0.06</v>
      </c>
    </row>
    <row r="15">
      <c r="A15" t="inlineStr">
        <is>
          <t>Товар 2 — старт продаж, № месяца</t>
        </is>
      </c>
      <c r="B15" s="145" t="n">
        <v>4</v>
      </c>
    </row>
    <row r="16">
      <c r="A16" t="inlineStr">
        <is>
          <t>Товар 2 — продажи в 1-й месяц запуска, шт</t>
        </is>
      </c>
      <c r="B16" s="142">
        <f>CHOOSE($B$11,D16,E16,F16)</f>
        <v/>
      </c>
      <c r="D16" s="143" t="n">
        <v>80</v>
      </c>
      <c r="E16" s="143" t="n">
        <v>90</v>
      </c>
      <c r="F16" s="143" t="n">
        <v>120</v>
      </c>
    </row>
    <row r="17">
      <c r="A17" t="inlineStr">
        <is>
          <t>Товар 2 — рост продаж в месяц, 1-й год</t>
        </is>
      </c>
      <c r="B17" s="144">
        <f>CHOOSE($B$11,D17,E17,F17)</f>
        <v/>
      </c>
      <c r="D17" s="138" t="n">
        <v>0.14</v>
      </c>
      <c r="E17" s="138" t="n">
        <v>0.16</v>
      </c>
      <c r="F17" s="138" t="n">
        <v>0.19</v>
      </c>
    </row>
    <row r="18">
      <c r="A18" t="inlineStr">
        <is>
          <t>Товар 2 — рост продаж в месяц, 2-й год</t>
        </is>
      </c>
      <c r="B18" s="138" t="n">
        <v>0.06</v>
      </c>
    </row>
    <row r="19">
      <c r="A19" t="inlineStr">
        <is>
          <t>Товар 3 (B2B) — старт продаж, № месяца</t>
        </is>
      </c>
      <c r="B19" s="145" t="n">
        <v>7</v>
      </c>
      <c r="C19" s="137" t="inlineStr">
        <is>
          <t>после отзывов и портфолио</t>
        </is>
      </c>
    </row>
    <row r="20">
      <c r="A20" t="inlineStr">
        <is>
          <t>Товар 3 (B2B) — заказов в 1-й месяц запуска, шт</t>
        </is>
      </c>
      <c r="B20" s="142">
        <f>CHOOSE($B$11,D20,E20,F20)</f>
        <v/>
      </c>
      <c r="D20" s="143" t="n">
        <v>4</v>
      </c>
      <c r="E20" s="143" t="n">
        <v>5</v>
      </c>
      <c r="F20" s="143" t="n">
        <v>7</v>
      </c>
    </row>
    <row r="21">
      <c r="A21" t="inlineStr">
        <is>
          <t>Товар 3 (B2B) — рост выручки в месяц</t>
        </is>
      </c>
      <c r="B21" s="138" t="n">
        <v>0.1</v>
      </c>
    </row>
    <row r="23">
      <c r="A23" s="135" t="inlineStr">
        <is>
          <t>3. КОМАНДА — 6 ЧЕЛОВЕК, НАБИРАЕМ ПОСТЕПЕННО</t>
        </is>
      </c>
      <c r="B23" s="135" t="n"/>
      <c r="C23" s="135" t="inlineStr">
        <is>
          <t>оклады gross ₽/мес; «месяц выхода» — когда человек появляется в проекте</t>
        </is>
      </c>
      <c r="D23" s="135" t="n"/>
      <c r="E23" s="135" t="n"/>
      <c r="F23" s="135" t="n"/>
    </row>
    <row r="24">
      <c r="A24" t="inlineStr">
        <is>
          <t>1. Руководитель проекта (CEO) — оклад</t>
        </is>
      </c>
      <c r="B24" s="136" t="n">
        <v>120000</v>
      </c>
      <c r="C24" s="137" t="inlineStr">
        <is>
          <t>строка ДДС «ЗП Руководителя»</t>
        </is>
      </c>
    </row>
    <row r="25">
      <c r="A25" t="inlineStr">
        <is>
          <t>1. Руководитель проекта — месяц выхода</t>
        </is>
      </c>
      <c r="B25" s="145" t="n">
        <v>1</v>
      </c>
      <c r="C25" s="137" t="inlineStr">
        <is>
          <t>основатель, с первого дня</t>
        </is>
      </c>
    </row>
    <row r="26">
      <c r="A26" t="inlineStr">
        <is>
          <t>2. Дизайнер принтов и контента — оклад</t>
        </is>
      </c>
      <c r="B26" s="136" t="n">
        <v>65000</v>
      </c>
      <c r="C26" s="137" t="inlineStr">
        <is>
          <t>строка ДДС «Техническая поддержка»</t>
        </is>
      </c>
    </row>
    <row r="27">
      <c r="A27" t="inlineStr">
        <is>
          <t>2. Дизайнер принтов — месяц выхода</t>
        </is>
      </c>
      <c r="B27" s="145" t="n">
        <v>1</v>
      </c>
      <c r="C27" s="137" t="inlineStr">
        <is>
          <t>без принтов нет продукта</t>
        </is>
      </c>
    </row>
    <row r="28">
      <c r="A28" t="inlineStr">
        <is>
          <t>3. Менеджер по продажам 1 — оклад</t>
        </is>
      </c>
      <c r="B28" s="136" t="n">
        <v>45000</v>
      </c>
    </row>
    <row r="29">
      <c r="A29" t="inlineStr">
        <is>
          <t>3. Менеджер по продажам 1 — % от выручки</t>
        </is>
      </c>
      <c r="B29" s="138" t="n">
        <v>0.02</v>
      </c>
    </row>
    <row r="30">
      <c r="A30" t="inlineStr">
        <is>
          <t>3. Менеджер по продажам 1 — месяц выхода</t>
        </is>
      </c>
      <c r="B30" s="145" t="n">
        <v>3</v>
      </c>
    </row>
    <row r="31">
      <c r="A31" t="inlineStr">
        <is>
          <t>4. Маркетолог — оклад</t>
        </is>
      </c>
      <c r="B31" s="136" t="n">
        <v>70000</v>
      </c>
    </row>
    <row r="32">
      <c r="A32" t="inlineStr">
        <is>
          <t>4. Маркетолог — % от выручки</t>
        </is>
      </c>
      <c r="B32" s="138" t="n">
        <v>0.01</v>
      </c>
    </row>
    <row r="33">
      <c r="A33" t="inlineStr">
        <is>
          <t>4. Маркетолог — месяц выхода</t>
        </is>
      </c>
      <c r="B33" s="145" t="n">
        <v>5</v>
      </c>
      <c r="C33" s="137" t="inlineStr">
        <is>
          <t>когда есть что масштабировать</t>
        </is>
      </c>
    </row>
    <row r="34">
      <c r="A34" t="inlineStr">
        <is>
          <t>5. Разработчик / поддержка сайта — оклад</t>
        </is>
      </c>
      <c r="B34" s="136" t="n">
        <v>90000</v>
      </c>
      <c r="C34" s="137" t="inlineStr">
        <is>
          <t>строка ДДС «Разработка»</t>
        </is>
      </c>
    </row>
    <row r="35">
      <c r="A35" t="inlineStr">
        <is>
          <t>5. Разработчик — месяц выхода</t>
        </is>
      </c>
      <c r="B35" s="145" t="n">
        <v>7</v>
      </c>
      <c r="C35" s="137" t="inlineStr">
        <is>
          <t>запуск своего сайта</t>
        </is>
      </c>
    </row>
    <row r="36">
      <c r="A36" t="inlineStr">
        <is>
          <t>6. Менеджер по продажам 2 (B2B) — оклад</t>
        </is>
      </c>
      <c r="B36" s="136" t="n">
        <v>45000</v>
      </c>
    </row>
    <row r="37">
      <c r="A37" t="inlineStr">
        <is>
          <t>6. Менеджер по продажам 2 — % от выручки</t>
        </is>
      </c>
      <c r="B37" s="138" t="n">
        <v>0.02</v>
      </c>
    </row>
    <row r="38">
      <c r="A38" t="inlineStr">
        <is>
          <t>6. Менеджер по продажам 2 — месяц выхода</t>
        </is>
      </c>
      <c r="B38" s="145" t="n">
        <v>9</v>
      </c>
      <c r="C38" s="137" t="inlineStr">
        <is>
          <t>под B2B-направление</t>
        </is>
      </c>
    </row>
    <row r="39">
      <c r="A39" t="inlineStr">
        <is>
          <t>Индексация окладов со 2-го года</t>
        </is>
      </c>
      <c r="B39" s="138" t="n">
        <v>0.1</v>
      </c>
    </row>
    <row r="40">
      <c r="A40" t="inlineStr">
        <is>
          <t>Страховые взносы, % от ФОТ</t>
        </is>
      </c>
      <c r="B40" s="138" t="n">
        <v>0.2</v>
      </c>
      <c r="C40" s="137" t="inlineStr">
        <is>
          <t>льготный тариф МСП (среднее)</t>
        </is>
      </c>
    </row>
    <row r="42">
      <c r="A42" s="135" t="inlineStr">
        <is>
          <t>4. МАРКЕТИНГ</t>
        </is>
      </c>
      <c r="B42" s="135" t="n"/>
      <c r="C42" s="135" t="n"/>
      <c r="D42" s="135" t="n"/>
      <c r="E42" s="135" t="n"/>
      <c r="F42" s="135" t="n"/>
    </row>
    <row r="43">
      <c r="A43" t="inlineStr">
        <is>
          <t>Реклама интернет, % от выручки</t>
        </is>
      </c>
      <c r="B43" s="138" t="n">
        <v>0.14</v>
      </c>
      <c r="C43" s="137" t="inlineStr">
        <is>
          <t>performance, таргет, блогеры</t>
        </is>
      </c>
    </row>
    <row r="44">
      <c r="A44" t="inlineStr">
        <is>
          <t>Реклама интернет — минимальный бюджет, ₽/мес</t>
        </is>
      </c>
      <c r="B44" s="136" t="n">
        <v>60000</v>
      </c>
      <c r="C44" s="137" t="inlineStr">
        <is>
          <t>на старте бюджет небольшой — денег мало</t>
        </is>
      </c>
    </row>
    <row r="45">
      <c r="A45" t="inlineStr">
        <is>
          <t>Реклама оффлайн, ₽/мес</t>
        </is>
      </c>
      <c r="B45" s="136" t="n">
        <v>80000</v>
      </c>
      <c r="C45" s="137" t="inlineStr">
        <is>
          <t>забеги, спортклубы, амбассадоры</t>
        </is>
      </c>
    </row>
    <row r="46">
      <c r="A46" t="inlineStr">
        <is>
          <t>Реклама оффлайн — старт, № месяца</t>
        </is>
      </c>
      <c r="B46" s="145" t="n">
        <v>8</v>
      </c>
    </row>
    <row r="47">
      <c r="A47" t="inlineStr">
        <is>
          <t>SEO-продвижение, ₽/мес</t>
        </is>
      </c>
      <c r="B47" s="136" t="n">
        <v>60000</v>
      </c>
    </row>
    <row r="48">
      <c r="A48" t="inlineStr">
        <is>
          <t>SEO — старт, № месяца</t>
        </is>
      </c>
      <c r="B48" s="145" t="n">
        <v>5</v>
      </c>
    </row>
    <row r="50">
      <c r="A50" s="135" t="inlineStr">
        <is>
          <t>5. IT, АДМИНИСТРАТИВНЫЕ И ОПЕРАЦИОННЫЕ РАСХОДЫ</t>
        </is>
      </c>
      <c r="B50" s="135" t="n"/>
      <c r="C50" s="135" t="n"/>
      <c r="D50" s="135" t="n"/>
      <c r="E50" s="135" t="n"/>
      <c r="F50" s="135" t="n"/>
    </row>
    <row r="51">
      <c r="A51" t="inlineStr">
        <is>
          <t>Хостинг и домен, ₽/мес</t>
        </is>
      </c>
      <c r="B51" s="136" t="n">
        <v>8000</v>
      </c>
    </row>
    <row r="52">
      <c r="A52" t="inlineStr">
        <is>
          <t>Аренда сервера, CRM и сервисы, ₽/мес</t>
        </is>
      </c>
      <c r="B52" s="136" t="n">
        <v>12000</v>
      </c>
    </row>
    <row r="53">
      <c r="A53" t="inlineStr">
        <is>
          <t>Бухобслуживание (аутсорс), ₽/мес</t>
        </is>
      </c>
      <c r="B53" s="136" t="n">
        <v>25000</v>
      </c>
    </row>
    <row r="54">
      <c r="A54" t="inlineStr">
        <is>
          <t>Эквайринг и комиссии маркетплейсов, % от B2C</t>
        </is>
      </c>
      <c r="B54" s="138" t="n">
        <v>0.09</v>
      </c>
      <c r="C54" s="137" t="inlineStr">
        <is>
          <t>≈ половина продаж через маркетплейсы</t>
        </is>
      </c>
    </row>
    <row r="55">
      <c r="A55" t="inlineStr">
        <is>
          <t>Аренда офиса и мини-склада, ₽/мес</t>
        </is>
      </c>
      <c r="B55" s="136" t="n">
        <v>90000</v>
      </c>
    </row>
    <row r="56">
      <c r="A56" t="inlineStr">
        <is>
          <t>Офис и склад — с какого месяца</t>
        </is>
      </c>
      <c r="B56" s="145" t="n">
        <v>7</v>
      </c>
      <c r="C56" s="137" t="inlineStr">
        <is>
          <t>до этого удалённо + фулфилмент маркетплейса</t>
        </is>
      </c>
    </row>
    <row r="57">
      <c r="A57" t="inlineStr">
        <is>
          <t>Канцелярия, ПО и прочее, ₽/мес</t>
        </is>
      </c>
      <c r="B57" s="136" t="n">
        <v>15000</v>
      </c>
    </row>
    <row r="58">
      <c r="A58" t="inlineStr">
        <is>
          <t>Связь и интернет, ₽/мес</t>
        </is>
      </c>
      <c r="B58" s="136" t="n">
        <v>12000</v>
      </c>
    </row>
    <row r="59">
      <c r="A59" t="inlineStr">
        <is>
          <t>Логистика и фулфилмент, % от выручки</t>
        </is>
      </c>
      <c r="B59" s="138" t="n">
        <v>0.06</v>
      </c>
      <c r="C59" s="137" t="inlineStr">
        <is>
          <t>часть доставки платит покупатель</t>
        </is>
      </c>
    </row>
    <row r="60">
      <c r="A60" t="inlineStr">
        <is>
          <t>Упаковка, брак и возвраты, % от B2C-выручки</t>
        </is>
      </c>
      <c r="B60" s="138" t="n">
        <v>0.05</v>
      </c>
    </row>
    <row r="61">
      <c r="A61" t="inlineStr">
        <is>
          <t>Первоначальный товарный запас (1 = формируем, 0 = нет)</t>
        </is>
      </c>
      <c r="B61" s="145" t="n">
        <v>1</v>
      </c>
      <c r="C61" s="137" t="inlineStr">
        <is>
          <t>в мес. 1 закупаем товар ещё и под продажи мес. 2</t>
        </is>
      </c>
    </row>
    <row r="63">
      <c r="A63" s="135" t="inlineStr">
        <is>
          <t>6. НАЛОГИ</t>
        </is>
      </c>
      <c r="B63" s="135" t="n"/>
      <c r="C63" s="135" t="n"/>
      <c r="D63" s="135" t="n"/>
      <c r="E63" s="135" t="n"/>
      <c r="F63" s="135" t="n"/>
    </row>
    <row r="64">
      <c r="A64" t="inlineStr">
        <is>
          <t>УСН «Доходы минус расходы», ставка</t>
        </is>
      </c>
      <c r="B64" s="138" t="n">
        <v>0.15</v>
      </c>
    </row>
    <row r="65">
      <c r="A65" t="inlineStr">
        <is>
          <t>Минимальный налог, % от доходов</t>
        </is>
      </c>
      <c r="B65" s="138" t="n">
        <v>0.01</v>
      </c>
      <c r="C65" s="137" t="inlineStr">
        <is>
          <t>платим, если он больше расчётного</t>
        </is>
      </c>
    </row>
    <row r="67">
      <c r="A67" s="135" t="inlineStr">
        <is>
          <t>7. УСЛОВИЯ СДЕЛКИ: ФИНАНСИРОВАНИЕ ПО ПОТРЕБНОСТИ</t>
        </is>
      </c>
      <c r="B67" s="135" t="n"/>
      <c r="C67" s="135" t="inlineStr">
        <is>
          <t>деньги заходят траншами по мере необходимости, а не одной суммой</t>
        </is>
      </c>
      <c r="D67" s="135" t="n"/>
      <c r="E67" s="135" t="n"/>
      <c r="F67" s="135" t="n"/>
    </row>
    <row r="68">
      <c r="A68" t="inlineStr">
        <is>
          <t>Первый транш (месяц 1), ₽</t>
        </is>
      </c>
      <c r="B68" s="136" t="n">
        <v>500000</v>
      </c>
      <c r="C68" s="137" t="inlineStr">
        <is>
          <t>с этого начинаем</t>
        </is>
      </c>
    </row>
    <row r="69">
      <c r="A69" t="inlineStr">
        <is>
          <t>Шаг доливки транша, ₽</t>
        </is>
      </c>
      <c r="B69" s="136" t="n">
        <v>100000</v>
      </c>
      <c r="C69" s="137" t="inlineStr">
        <is>
          <t>кратность последующих траншей</t>
        </is>
      </c>
    </row>
    <row r="70">
      <c r="A70" t="inlineStr">
        <is>
          <t>Целевой остаток на счёте, ₽</t>
        </is>
      </c>
      <c r="B70" s="136" t="n">
        <v>150000</v>
      </c>
      <c r="C70" s="137" t="inlineStr">
        <is>
          <t>ниже него не опускаемся — это и есть триггер доливки</t>
        </is>
      </c>
    </row>
    <row r="71">
      <c r="A71" t="inlineStr">
        <is>
          <t>Коэффициент возврата инвестору, ×</t>
        </is>
      </c>
      <c r="B71" s="146" t="n">
        <v>1.8</v>
      </c>
      <c r="C71" s="137" t="inlineStr">
        <is>
          <t>возвращаем тело + доход с каждого транша</t>
        </is>
      </c>
    </row>
    <row r="72">
      <c r="A72" t="inlineStr">
        <is>
          <t>Доля операционного потока на возврат инвестору</t>
        </is>
      </c>
      <c r="B72" s="138" t="n">
        <v>0.75</v>
      </c>
    </row>
    <row r="73">
      <c r="A73" t="inlineStr">
        <is>
          <t>Лимит инвестора: максимум денег всего, ₽</t>
        </is>
      </c>
      <c r="B73" s="136" t="n">
        <v>3000000</v>
      </c>
      <c r="C73" s="137" t="inlineStr">
        <is>
          <t>больше этой суммы модель не привлечёт</t>
        </is>
      </c>
    </row>
    <row r="74">
      <c r="A74" t="inlineStr">
        <is>
          <t>Ставка дисконтирования, % годовых</t>
        </is>
      </c>
      <c r="B74" s="138" t="n">
        <v>0.25</v>
      </c>
      <c r="C74" s="137" t="inlineStr">
        <is>
          <t>для NPV</t>
        </is>
      </c>
    </row>
    <row r="75">
      <c r="A75" t="inlineStr">
        <is>
          <t>Доля инвестора в капитале</t>
        </is>
      </c>
      <c r="B75" s="138" t="n">
        <v>0.2</v>
      </c>
      <c r="C75" s="137" t="inlineStr">
        <is>
          <t>для оценки post-money</t>
        </is>
      </c>
    </row>
    <row r="76">
      <c r="A76" t="inlineStr">
        <is>
          <t>Сальдо на начало проекта, ₽</t>
        </is>
      </c>
      <c r="B76" s="136" t="n">
        <v>0</v>
      </c>
      <c r="C76" s="137" t="inlineStr">
        <is>
          <t>собственных средств нет</t>
        </is>
      </c>
    </row>
    <row r="78">
      <c r="A78" s="135" t="inlineStr">
        <is>
          <t>8. ЮНИТ-ЭКОНОМИКА (расчёт)</t>
        </is>
      </c>
      <c r="B78" s="135" t="n"/>
      <c r="C78" s="135" t="n"/>
      <c r="D78" s="135" t="n"/>
      <c r="E78" s="135" t="n"/>
      <c r="F78" s="135" t="n"/>
    </row>
    <row r="79">
      <c r="A79" t="inlineStr">
        <is>
          <t>Маржа с товара 1, ₽</t>
        </is>
      </c>
      <c r="B79" s="147">
        <f>B4-B5</f>
        <v/>
      </c>
    </row>
    <row r="80">
      <c r="A80" t="inlineStr">
        <is>
          <t>Маржа с товара 1, %</t>
        </is>
      </c>
      <c r="B80" s="148">
        <f>IF(B4=0,0,(B4-B5)/B4)</f>
        <v/>
      </c>
    </row>
    <row r="81">
      <c r="A81" t="inlineStr">
        <is>
          <t>Маржа с товара 2, ₽</t>
        </is>
      </c>
      <c r="B81" s="147">
        <f>B6-B7</f>
        <v/>
      </c>
    </row>
    <row r="82">
      <c r="A82" t="inlineStr">
        <is>
          <t>Маржа с товара 2, %</t>
        </is>
      </c>
      <c r="B82" s="148">
        <f>IF(B6=0,0,(B6-B7)/B6)</f>
        <v/>
      </c>
    </row>
    <row r="83">
      <c r="A83" t="inlineStr">
        <is>
          <t>Маржа с B2B-заказа, ₽</t>
        </is>
      </c>
      <c r="B83" s="147">
        <f>B8*(1-B9)</f>
        <v/>
      </c>
    </row>
    <row r="84">
      <c r="A84" t="inlineStr">
        <is>
          <t>Маржа с B2B-заказа, %</t>
        </is>
      </c>
      <c r="B84" s="148">
        <f>1-B9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cols>
    <col width="44" customWidth="1" style="92" min="1" max="1"/>
    <col width="18" customWidth="1" style="92" min="2" max="2"/>
    <col width="82" customWidth="1" style="92" min="3" max="3"/>
  </cols>
  <sheetData>
    <row r="1">
      <c r="A1" s="149" t="inlineStr">
        <is>
          <t>ПИТЧ ИНВЕСТОРУ — «СПОРТИВНЫЕ ФУТБОЛКИ»</t>
        </is>
      </c>
      <c r="B1" s="149" t="n"/>
      <c r="C1" s="149" t="n"/>
    </row>
    <row r="2">
      <c r="A2" t="inlineStr"/>
    </row>
    <row r="3" ht="30" customHeight="1" s="92">
      <c r="A3" s="150" t="inlineStr">
        <is>
          <t>Проблема</t>
        </is>
      </c>
      <c r="C3" s="151" t="inlineStr">
        <is>
          <t>Спортивная одежда в РФ после ухода мировых брендов: покупатель хочет качество и быструю кастомизацию, а получает либо дорогой импорт, либо безликий ноунейм.</t>
        </is>
      </c>
    </row>
    <row r="4" ht="30" customHeight="1" s="92">
      <c r="A4" s="150" t="inlineStr">
        <is>
          <t>Решение</t>
        </is>
      </c>
      <c r="C4" s="151" t="inlineStr">
        <is>
          <t>D2C-бренд спортивных футболок: маркетплейсы на старте, дальше собственный сайт и печать под заказ. Срок от заказа до отгрузки — 3 дня, кастом-принт от 1 шт.</t>
        </is>
      </c>
    </row>
    <row r="5" ht="30" customHeight="1" s="92">
      <c r="A5" s="150" t="inlineStr">
        <is>
          <t>Продукт</t>
        </is>
      </c>
      <c r="C5" s="151" t="inlineStr">
        <is>
          <t>1) «Базовая» — массовый спрос; 2) «Pro / кастом-принт» — высокая маржа; 3) B2B — экипировка для команд, клубов и корпоративных забегов.</t>
        </is>
      </c>
    </row>
    <row r="6" ht="30" customHeight="1" s="92">
      <c r="A6" s="150" t="inlineStr">
        <is>
          <t>Бизнес-модель</t>
        </is>
      </c>
      <c r="C6" s="151" t="inlineStr">
        <is>
          <t>Контрактное производство, без CAPEX на оборудование. Деньги инвестора идут в товарный запас и трафик — самые быстро оборачиваемые статьи.</t>
        </is>
      </c>
    </row>
    <row r="7">
      <c r="A7" t="inlineStr"/>
    </row>
    <row r="8">
      <c r="A8" s="135" t="inlineStr">
        <is>
          <t>ЮНИТ-ЭКОНОМИКА</t>
        </is>
      </c>
      <c r="B8" s="135" t="n"/>
      <c r="C8" s="135" t="n"/>
    </row>
    <row r="9">
      <c r="A9" t="inlineStr">
        <is>
          <t>Средний чек «Базовая»</t>
        </is>
      </c>
      <c r="B9" s="152">
        <f>Параметры!B4</f>
        <v/>
      </c>
      <c r="C9" s="137" t="inlineStr">
        <is>
          <t>розница: сайт и маркетплейсы</t>
        </is>
      </c>
    </row>
    <row r="10">
      <c r="A10" t="inlineStr">
        <is>
          <t>Маржа «Базовая»</t>
        </is>
      </c>
      <c r="B10" s="153">
        <f>Параметры!B80</f>
        <v/>
      </c>
    </row>
    <row r="11">
      <c r="A11" t="inlineStr">
        <is>
          <t>Маржа «Pro / кастом»</t>
        </is>
      </c>
      <c r="B11" s="153">
        <f>Параметры!B82</f>
        <v/>
      </c>
    </row>
    <row r="12">
      <c r="A12" t="inlineStr">
        <is>
          <t>Маржа B2B-заказа</t>
        </is>
      </c>
      <c r="B12" s="153">
        <f>Параметры!B84</f>
        <v/>
      </c>
    </row>
    <row r="13">
      <c r="A13" t="inlineStr">
        <is>
          <t>Средняя валовая маржа проекта</t>
        </is>
      </c>
      <c r="B13" s="153">
        <f>ДДС!B83</f>
        <v/>
      </c>
    </row>
    <row r="14">
      <c r="A14" t="inlineStr"/>
    </row>
    <row r="15">
      <c r="A15" s="135" t="inlineStr">
        <is>
          <t>ЗАПРОС: ДЕНЬГИ ЗАХОДЯТ ТРАНШАМИ, А НЕ ОДНОЙ СУММОЙ</t>
        </is>
      </c>
      <c r="B15" s="135" t="n"/>
      <c r="C15" s="135" t="n"/>
    </row>
    <row r="16">
      <c r="A16" t="inlineStr">
        <is>
          <t>Первый транш (месяц 1)</t>
        </is>
      </c>
      <c r="B16" s="152">
        <f>ДДС!B63</f>
        <v/>
      </c>
      <c r="C16" s="137" t="inlineStr">
        <is>
          <t>проверяем спрос на минимальных деньгах</t>
        </is>
      </c>
    </row>
    <row r="17">
      <c r="A17" t="inlineStr">
        <is>
          <t>Инвестиции всего за 24 месяца</t>
        </is>
      </c>
      <c r="B17" s="152">
        <f>ДДС!B64</f>
        <v/>
      </c>
      <c r="C17" s="137" t="inlineStr">
        <is>
          <t>доливаем только по факту потребности</t>
        </is>
      </c>
    </row>
    <row r="18">
      <c r="A18" t="inlineStr">
        <is>
          <t>Количество траншей</t>
        </is>
      </c>
      <c r="B18" s="154">
        <f>ДДС!B65</f>
        <v/>
      </c>
      <c r="C18" s="137" t="inlineStr">
        <is>
          <t>каждый следующий — под достигнутый KPI</t>
        </is>
      </c>
    </row>
    <row r="19">
      <c r="A19" t="inlineStr">
        <is>
          <t>Максимальный разовый транш</t>
        </is>
      </c>
      <c r="B19" s="152">
        <f>ДДС!B66</f>
        <v/>
      </c>
      <c r="C19" s="137" t="inlineStr">
        <is>
          <t>риск инвестора за один раз</t>
        </is>
      </c>
    </row>
    <row r="20">
      <c r="A20" t="inlineStr">
        <is>
          <t>Последний месяц привлечения</t>
        </is>
      </c>
      <c r="B20" s="154">
        <f>ДДС!B67</f>
        <v/>
      </c>
      <c r="C20" s="137" t="inlineStr">
        <is>
          <t>дальше проект финансирует себя сам</t>
        </is>
      </c>
    </row>
    <row r="21">
      <c r="A21" t="inlineStr">
        <is>
          <t>Лимит инвестора (потолок)</t>
        </is>
      </c>
      <c r="B21" s="152">
        <f>ДДС!B69</f>
        <v/>
      </c>
      <c r="C21" s="137" t="inlineStr">
        <is>
          <t>больше этой суммы не просим</t>
        </is>
      </c>
    </row>
    <row r="22">
      <c r="A22" t="inlineStr"/>
    </row>
    <row r="23">
      <c r="A23" s="135" t="inlineStr">
        <is>
          <t>ЧТО ПОЛУЧАЕТ ИНВЕСТОР</t>
        </is>
      </c>
      <c r="B23" s="135" t="n"/>
      <c r="C23" s="135" t="n"/>
    </row>
    <row r="24">
      <c r="A24" t="inlineStr">
        <is>
          <t>Возврат за 24 мес.</t>
        </is>
      </c>
      <c r="B24" s="152">
        <f>ДДС!B71</f>
        <v/>
      </c>
      <c r="C24" s="137" t="inlineStr">
        <is>
          <t>из операционного потока, не из новых траншей</t>
        </is>
      </c>
    </row>
    <row r="25">
      <c r="A25" t="inlineStr">
        <is>
          <t>Доход инвестора</t>
        </is>
      </c>
      <c r="B25" s="152">
        <f>ДДС!B73</f>
        <v/>
      </c>
    </row>
    <row r="26">
      <c r="A26" t="inlineStr">
        <is>
          <t>ROI инвестора за 24 мес.</t>
        </is>
      </c>
      <c r="B26" s="153">
        <f>ДДС!B74</f>
        <v/>
      </c>
    </row>
    <row r="27">
      <c r="A27" t="inlineStr">
        <is>
          <t>IRR инвестора, % годовых</t>
        </is>
      </c>
      <c r="B27" s="153">
        <f>ДДС!B75</f>
        <v/>
      </c>
      <c r="C27" s="137" t="inlineStr">
        <is>
          <t>выше, чем при вложении всей суммы сразу</t>
        </is>
      </c>
    </row>
    <row r="28">
      <c r="A28" t="inlineStr">
        <is>
          <t>Месяц полного возврата</t>
        </is>
      </c>
      <c r="B28" s="154">
        <f>ДДС!B80</f>
        <v/>
      </c>
    </row>
    <row r="29">
      <c r="A29" t="inlineStr">
        <is>
          <t>Альтернатива: оценка post-money</t>
        </is>
      </c>
      <c r="B29" s="152">
        <f>ДДС!B88</f>
        <v/>
      </c>
      <c r="C29" s="137" t="inlineStr">
        <is>
          <t>при доле инвестора с листа «Параметры»</t>
        </is>
      </c>
    </row>
    <row r="30">
      <c r="A30" t="inlineStr"/>
    </row>
    <row r="31">
      <c r="A31" t="inlineStr">
        <is>
          <t>КОМАНДА — 6 ЧЕЛОВЕК, НАБИРАЕМ ПОСТЕПЕННО (цифра = месяц выхода)</t>
        </is>
      </c>
    </row>
    <row r="32">
      <c r="A32" t="inlineStr">
        <is>
          <t>1. Руководитель проекта (CEO)</t>
        </is>
      </c>
      <c r="B32" s="154">
        <f>Параметры!B25</f>
        <v/>
      </c>
      <c r="C32" s="137" t="inlineStr">
        <is>
          <t>стратегия, продукт, инвестор</t>
        </is>
      </c>
    </row>
    <row r="33">
      <c r="A33" t="inlineStr">
        <is>
          <t>2. Дизайнер принтов и контента</t>
        </is>
      </c>
      <c r="B33" s="154">
        <f>Параметры!B27</f>
        <v/>
      </c>
      <c r="C33" s="137" t="inlineStr">
        <is>
          <t>коллекции, визуал, кастом-макеты</t>
        </is>
      </c>
    </row>
    <row r="34">
      <c r="A34" t="inlineStr">
        <is>
          <t>3. Менеджер по продажам 1</t>
        </is>
      </c>
      <c r="B34" s="154">
        <f>Параметры!B30</f>
        <v/>
      </c>
      <c r="C34" s="137" t="inlineStr">
        <is>
          <t>розница и маркетплейсы, + % от выручки</t>
        </is>
      </c>
    </row>
    <row r="35">
      <c r="A35" t="inlineStr">
        <is>
          <t>4. Маркетолог</t>
        </is>
      </c>
      <c r="B35" s="154">
        <f>Параметры!B33</f>
        <v/>
      </c>
      <c r="C35" s="137" t="inlineStr">
        <is>
          <t>трафик, бренд, амбассадоры, + % от выручки</t>
        </is>
      </c>
    </row>
    <row r="36">
      <c r="A36" t="inlineStr">
        <is>
          <t>5. Разработчик / поддержка сайта</t>
        </is>
      </c>
      <c r="B36" s="154">
        <f>Параметры!B35</f>
        <v/>
      </c>
      <c r="C36" s="137" t="inlineStr">
        <is>
          <t>свой сайт и интеграции с маркетплейсами</t>
        </is>
      </c>
    </row>
    <row r="37">
      <c r="A37" t="inlineStr">
        <is>
          <t>6. Менеджер по продажам 2 (B2B)</t>
        </is>
      </c>
      <c r="B37" s="154">
        <f>Параметры!B38</f>
        <v/>
      </c>
      <c r="C37" s="137" t="inlineStr">
        <is>
          <t>командная экипировка и опт</t>
        </is>
      </c>
    </row>
    <row r="38" ht="30" customHeight="1" s="92">
      <c r="A38" s="150" t="inlineStr">
        <is>
          <t>Почему так</t>
        </is>
      </c>
      <c r="C38" s="151" t="inlineStr">
        <is>
          <t>Полный ФОТ на 6 человек проект тянет не с первого месяца, а по мере роста выручки — именно это позволяет стартовать с небольшого транша вместо разовых миллионов.</t>
        </is>
      </c>
    </row>
    <row r="39">
      <c r="A39" t="inlineStr">
        <is>
          <t>ФОТ 1-го месяца с взносами</t>
        </is>
      </c>
      <c r="B39" s="152">
        <f>ДДС!B34+ДДС!B13+ДДС!B14+ДДС!B19</f>
        <v/>
      </c>
    </row>
    <row r="40">
      <c r="A40" t="inlineStr">
        <is>
          <t>ФОТ 12-го месяца с взносами</t>
        </is>
      </c>
      <c r="B40" s="152">
        <f>ДДС!M34+ДДС!M13+ДДС!M14+ДДС!M19</f>
        <v/>
      </c>
    </row>
    <row r="41">
      <c r="A41" t="inlineStr"/>
    </row>
    <row r="42">
      <c r="A42" s="135" t="inlineStr">
        <is>
          <t>ЭКОНОМИКА ПРОЕКТА ЗА 24 МЕСЯЦА</t>
        </is>
      </c>
      <c r="B42" s="135" t="n"/>
      <c r="C42" s="135" t="n"/>
    </row>
    <row r="43">
      <c r="A43" t="inlineStr">
        <is>
          <t>Сценарий модели (1 песс. / 2 базовый / 3 опт.)</t>
        </is>
      </c>
      <c r="B43" s="154">
        <f>Параметры!B11</f>
        <v/>
      </c>
      <c r="C43" s="137" t="inlineStr">
        <is>
          <t>переключается одной ячейкой на листе «Параметры»</t>
        </is>
      </c>
    </row>
    <row r="44">
      <c r="A44" t="inlineStr">
        <is>
          <t>Выручка за 24 месяца</t>
        </is>
      </c>
      <c r="B44" s="152">
        <f>ДДС!B81</f>
        <v/>
      </c>
    </row>
    <row r="45">
      <c r="A45" t="inlineStr">
        <is>
          <t>Выручка в 24-м месяце (run-rate)</t>
        </is>
      </c>
      <c r="B45" s="152">
        <f>ДДС!B82</f>
        <v/>
      </c>
    </row>
    <row r="46">
      <c r="A46" t="inlineStr">
        <is>
          <t>Операционная прибыль за 24 месяца</t>
        </is>
      </c>
      <c r="B46" s="152">
        <f>ДДС!B84</f>
        <v/>
      </c>
    </row>
    <row r="47">
      <c r="A47" t="inlineStr">
        <is>
          <t>Рентабельность по операционному потоку</t>
        </is>
      </c>
      <c r="B47" s="153">
        <f>ДДС!B85</f>
        <v/>
      </c>
    </row>
    <row r="48">
      <c r="A48" t="inlineStr">
        <is>
          <t>NPV проекта (ставка 25% годовых)</t>
        </is>
      </c>
      <c r="B48" s="152">
        <f>ДДС!B77</f>
        <v/>
      </c>
    </row>
    <row r="49">
      <c r="A49" t="inlineStr">
        <is>
          <t>Месяц выхода в операционный плюс</t>
        </is>
      </c>
      <c r="B49" s="154">
        <f>ДДС!B78</f>
        <v/>
      </c>
    </row>
    <row r="50">
      <c r="A50" t="inlineStr">
        <is>
          <t>Месяц окупаемости проекта</t>
        </is>
      </c>
      <c r="B50" s="154">
        <f>ДДС!B79</f>
        <v/>
      </c>
    </row>
    <row r="51">
      <c r="A51" t="inlineStr">
        <is>
          <t>Минимальный остаток на счёте</t>
        </is>
      </c>
      <c r="B51" s="152">
        <f>ДДС!B86</f>
        <v/>
      </c>
    </row>
    <row r="52">
      <c r="A52" t="inlineStr">
        <is>
          <t>Проверка достаточности денег</t>
        </is>
      </c>
      <c r="B52" s="154">
        <f>ДДС!B87</f>
        <v/>
      </c>
    </row>
    <row r="53">
      <c r="A53" t="inlineStr"/>
    </row>
    <row r="54">
      <c r="A54" s="135" t="inlineStr">
        <is>
          <t>РИСКИ И ОТВЕТ НА НИХ</t>
        </is>
      </c>
      <c r="B54" s="135" t="n"/>
      <c r="C54" s="135" t="n"/>
    </row>
    <row r="55" ht="30" customHeight="1" s="92">
      <c r="A55" s="150" t="inlineStr">
        <is>
          <t>Спрос ниже плана</t>
        </is>
      </c>
      <c r="C55" s="151" t="inlineStr">
        <is>
          <t>Риск инвестора ограничен размером транша: если гипотеза не подтвердилась — следующий транш просто не выдаётся. Сценарий переключается одной ячейкой.</t>
        </is>
      </c>
    </row>
    <row r="56" ht="30" customHeight="1" s="92">
      <c r="A56" s="150" t="inlineStr">
        <is>
          <t>Рост себестоимости / курс</t>
        </is>
      </c>
      <c r="C56" s="151" t="inlineStr">
        <is>
          <t>Контрактное производство в РФ, два поставщика, себестоимость — параметр модели.</t>
        </is>
      </c>
    </row>
    <row r="57" ht="30" customHeight="1" s="92">
      <c r="A57" s="150" t="inlineStr">
        <is>
          <t>Кассовый разрыв</t>
        </is>
      </c>
      <c r="C57" s="151" t="inlineStr">
        <is>
          <t>Модель сама считает месяц и размер доливки; возврат инвестору идёт только из операционного потока и не может увести остаток ниже целевого.</t>
        </is>
      </c>
    </row>
    <row r="58" ht="30" customHeight="1" s="92">
      <c r="A58" s="150" t="inlineStr">
        <is>
          <t>Уход ключевого человека</t>
        </is>
      </c>
      <c r="C58" s="151" t="inlineStr">
        <is>
          <t>У продающих ролей доход привязан к выручке; на старте команда минимальная, новые люди выходят только под подтверждённый рост.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adamchik</dc:creator>
  <dcterms:created xsi:type="dcterms:W3CDTF">2009-08-25T08:26:45Z</dcterms:created>
  <dcterms:modified xsi:type="dcterms:W3CDTF">2026-09-10T16:51:44Z</dcterms:modified>
</cp:coreProperties>
</file>