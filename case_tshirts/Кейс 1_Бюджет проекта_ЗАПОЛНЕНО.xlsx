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ДДС" sheetId="1" state="visible" r:id="rId1"/>
    <sheet name="Параметры" sheetId="2" state="visible" r:id="rId2"/>
    <sheet name="Пит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\ &quot;₽&quot;;[Red]\-#,##0\ &quot;₽&quot;"/>
    <numFmt numFmtId="165" formatCode="#,##0&quot; ₽&quot;"/>
    <numFmt numFmtId="166" formatCode="0.0%"/>
  </numFmts>
  <fonts count="25">
    <font>
      <name val="Merriweather Sans"/>
      <color rgb="FFFFCC99"/>
      <sz val="11"/>
      <scheme val="minor"/>
    </font>
    <font>
      <name val="Merriweather Sans"/>
      <b val="1"/>
      <color rgb="FFFFCC99"/>
      <sz val="11"/>
    </font>
    <font>
      <name val="Merriweather Sans"/>
      <color rgb="FFFFCC99"/>
      <sz val="11"/>
    </font>
    <font>
      <name val="Merriweather Sans"/>
      <b val="1"/>
      <color rgb="FF000000"/>
      <sz val="11"/>
    </font>
    <font>
      <name val="Merriweather Sans"/>
      <b val="1"/>
      <color theme="1"/>
      <sz val="11"/>
    </font>
    <font>
      <name val="Merriweather Sans"/>
      <color rgb="FF000000"/>
      <sz val="11"/>
    </font>
    <font>
      <name val="Merriweather Sans"/>
      <color theme="1"/>
      <sz val="11"/>
    </font>
    <font>
      <name val="Merriweather Sans"/>
      <b val="1"/>
      <color rgb="FF000000"/>
      <sz val="12"/>
    </font>
    <font>
      <name val="Merriweather Sans"/>
      <color theme="1"/>
      <sz val="12"/>
    </font>
    <font>
      <name val="Merriweather Sans"/>
      <b val="1"/>
      <color theme="0"/>
      <sz val="11"/>
    </font>
    <font>
      <name val="Merriweather Sans"/>
      <b val="1"/>
      <color rgb="FF0066CC"/>
      <sz val="11"/>
    </font>
    <font>
      <name val="Merriweather Sans"/>
      <b val="1"/>
      <color rgb="FFDD0806"/>
      <sz val="11"/>
    </font>
    <font>
      <name val="Merriweather Sans"/>
      <color rgb="FFDD0806"/>
      <sz val="11"/>
    </font>
    <font>
      <name val="Merriweather Sans"/>
      <b val="1"/>
      <color rgb="FF000000"/>
      <sz val="14"/>
    </font>
    <font>
      <name val="Merriweather Sans"/>
      <b val="1"/>
      <color theme="1"/>
      <sz val="14"/>
    </font>
    <font>
      <name val="Merriweather Sans"/>
      <color theme="1"/>
      <sz val="14"/>
    </font>
    <font>
      <name val="Merriweather Sans"/>
      <color rgb="FFFF0000"/>
      <sz val="11"/>
    </font>
    <font>
      <i val="1"/>
      <color rgb="00808080"/>
    </font>
    <font>
      <b val="1"/>
      <color rgb="00FFFFFF"/>
    </font>
    <font>
      <i val="1"/>
      <color rgb="00C00000"/>
    </font>
    <font>
      <b val="1"/>
      <color rgb="001F4E79"/>
    </font>
    <font>
      <b val="1"/>
    </font>
    <font>
      <b val="1"/>
      <color rgb="00C00000"/>
      <sz val="12"/>
    </font>
    <font>
      <i val="1"/>
      <color rgb="00808080"/>
      <sz val="9"/>
    </font>
    <font>
      <b val="1"/>
      <color rgb="00FFFFFF"/>
      <sz val="14"/>
    </font>
  </fonts>
  <fills count="18">
    <fill>
      <patternFill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EEECE1"/>
        <bgColor rgb="FFEEECE1"/>
      </patternFill>
    </fill>
    <fill>
      <patternFill patternType="solid">
        <fgColor rgb="FF008080"/>
        <bgColor rgb="FF008080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DDD9C3"/>
        <bgColor rgb="FFDDD9C3"/>
      </patternFill>
    </fill>
    <fill>
      <patternFill patternType="solid">
        <fgColor rgb="FFC6D9F0"/>
        <bgColor rgb="FFC6D9F0"/>
      </patternFill>
    </fill>
    <fill>
      <patternFill patternType="solid">
        <fgColor rgb="FFDD0806"/>
        <bgColor rgb="FFDD0806"/>
      </patternFill>
    </fill>
    <fill>
      <patternFill patternType="solid">
        <fgColor rgb="FFD8D8D8"/>
        <bgColor rgb="FFD8D8D8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2" borderId="2" applyAlignment="1" pivotButton="0" quotePrefix="0" xfId="0">
      <alignment vertical="bottom"/>
    </xf>
    <xf numFmtId="0" fontId="1" fillId="2" borderId="2" applyAlignment="1" pivotButton="0" quotePrefix="0" xfId="0">
      <alignment vertical="bottom"/>
    </xf>
    <xf numFmtId="0" fontId="1" fillId="2" borderId="3" applyAlignment="1" pivotButton="0" quotePrefix="0" xfId="0">
      <alignment vertical="bottom"/>
    </xf>
    <xf numFmtId="0" fontId="1" fillId="2" borderId="4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3" fontId="3" fillId="0" borderId="8" applyAlignment="1" pivotButton="0" quotePrefix="0" xfId="0">
      <alignment vertical="bottom"/>
    </xf>
    <xf numFmtId="0" fontId="3" fillId="3" borderId="9" applyAlignment="1" pivotButton="0" quotePrefix="0" xfId="0">
      <alignment vertical="bottom"/>
    </xf>
    <xf numFmtId="3" fontId="4" fillId="3" borderId="10" applyAlignment="1" pivotButton="0" quotePrefix="0" xfId="0">
      <alignment vertical="bottom"/>
    </xf>
    <xf numFmtId="3" fontId="4" fillId="3" borderId="11" applyAlignment="1" pivotButton="0" quotePrefix="0" xfId="0">
      <alignment vertical="bottom"/>
    </xf>
    <xf numFmtId="3" fontId="3" fillId="3" borderId="12" applyAlignment="1" pivotButton="0" quotePrefix="0" xfId="0">
      <alignment vertical="bottom"/>
    </xf>
    <xf numFmtId="0" fontId="5" fillId="3" borderId="9" applyAlignment="1" pivotButton="0" quotePrefix="0" xfId="0">
      <alignment vertical="bottom"/>
    </xf>
    <xf numFmtId="3" fontId="6" fillId="3" borderId="10" applyAlignment="1" pivotButton="0" quotePrefix="0" xfId="0">
      <alignment vertical="bottom"/>
    </xf>
    <xf numFmtId="3" fontId="6" fillId="3" borderId="13" applyAlignment="1" pivotButton="0" quotePrefix="0" xfId="0">
      <alignment vertical="bottom"/>
    </xf>
    <xf numFmtId="0" fontId="3" fillId="4" borderId="9" applyAlignment="1" pivotButton="0" quotePrefix="0" xfId="0">
      <alignment vertical="bottom"/>
    </xf>
    <xf numFmtId="3" fontId="6" fillId="4" borderId="10" applyAlignment="1" pivotButton="0" quotePrefix="0" xfId="0">
      <alignment vertical="bottom"/>
    </xf>
    <xf numFmtId="3" fontId="4" fillId="4" borderId="10" applyAlignment="1" pivotButton="0" quotePrefix="0" xfId="0">
      <alignment vertical="bottom"/>
    </xf>
    <xf numFmtId="3" fontId="3" fillId="4" borderId="12" applyAlignment="1" pivotButton="0" quotePrefix="0" xfId="0">
      <alignment vertical="bottom"/>
    </xf>
    <xf numFmtId="0" fontId="5" fillId="4" borderId="9" applyAlignment="1" pivotButton="0" quotePrefix="0" xfId="0">
      <alignment vertical="bottom"/>
    </xf>
    <xf numFmtId="3" fontId="6" fillId="4" borderId="10" applyAlignment="1" pivotButton="0" quotePrefix="0" xfId="0">
      <alignment vertical="bottom"/>
    </xf>
    <xf numFmtId="3" fontId="6" fillId="4" borderId="13" applyAlignment="1" pivotButton="0" quotePrefix="0" xfId="0">
      <alignment vertical="bottom"/>
    </xf>
    <xf numFmtId="3" fontId="4" fillId="4" borderId="10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3" fontId="6" fillId="0" borderId="14" applyAlignment="1" pivotButton="0" quotePrefix="0" xfId="0">
      <alignment vertical="bottom"/>
    </xf>
    <xf numFmtId="3" fontId="6" fillId="0" borderId="13" applyAlignment="1" pivotButton="0" quotePrefix="0" xfId="0">
      <alignment vertical="bottom"/>
    </xf>
    <xf numFmtId="3" fontId="6" fillId="0" borderId="15" applyAlignment="1" pivotButton="0" quotePrefix="0" xfId="0">
      <alignment vertical="bottom"/>
    </xf>
    <xf numFmtId="3" fontId="3" fillId="0" borderId="12" applyAlignment="1" pivotButton="0" quotePrefix="0" xfId="0">
      <alignment vertical="bottom"/>
    </xf>
    <xf numFmtId="0" fontId="7" fillId="5" borderId="9" applyAlignment="1" pivotButton="0" quotePrefix="0" xfId="0">
      <alignment vertical="bottom"/>
    </xf>
    <xf numFmtId="3" fontId="8" fillId="5" borderId="10" applyAlignment="1" pivotButton="0" quotePrefix="0" xfId="0">
      <alignment vertical="bottom"/>
    </xf>
    <xf numFmtId="3" fontId="8" fillId="5" borderId="13" applyAlignment="1" pivotButton="0" quotePrefix="0" xfId="0">
      <alignment vertical="bottom"/>
    </xf>
    <xf numFmtId="3" fontId="8" fillId="5" borderId="16" applyAlignment="1" pivotButton="0" quotePrefix="0" xfId="0">
      <alignment vertical="bottom"/>
    </xf>
    <xf numFmtId="3" fontId="7" fillId="5" borderId="12" applyAlignment="1" pivotButton="0" quotePrefix="0" xfId="0">
      <alignment vertical="bottom"/>
    </xf>
    <xf numFmtId="0" fontId="3" fillId="6" borderId="17" applyAlignment="1" pivotButton="0" quotePrefix="0" xfId="0">
      <alignment vertical="bottom"/>
    </xf>
    <xf numFmtId="3" fontId="9" fillId="6" borderId="18" applyAlignment="1" pivotButton="0" quotePrefix="0" xfId="0">
      <alignment vertical="bottom"/>
    </xf>
    <xf numFmtId="3" fontId="9" fillId="6" borderId="19" applyAlignment="1" pivotButton="0" quotePrefix="0" xfId="0">
      <alignment vertical="bottom"/>
    </xf>
    <xf numFmtId="3" fontId="10" fillId="0" borderId="6" applyAlignment="1" pivotButton="0" quotePrefix="0" xfId="0">
      <alignment vertical="bottom"/>
    </xf>
    <xf numFmtId="3" fontId="11" fillId="0" borderId="7" applyAlignment="1" pivotButton="0" quotePrefix="0" xfId="0">
      <alignment vertical="bottom"/>
    </xf>
    <xf numFmtId="0" fontId="5" fillId="7" borderId="9" applyAlignment="1" pivotButton="0" quotePrefix="0" xfId="0">
      <alignment vertical="bottom"/>
    </xf>
    <xf numFmtId="3" fontId="5" fillId="7" borderId="10" applyAlignment="1" pivotButton="0" quotePrefix="0" xfId="0">
      <alignment vertical="bottom"/>
    </xf>
    <xf numFmtId="3" fontId="3" fillId="7" borderId="12" applyAlignment="1" pivotButton="0" quotePrefix="0" xfId="0">
      <alignment vertical="bottom"/>
    </xf>
    <xf numFmtId="0" fontId="3" fillId="7" borderId="9" applyAlignment="1" pivotButton="0" quotePrefix="0" xfId="0">
      <alignment vertical="bottom"/>
    </xf>
    <xf numFmtId="3" fontId="3" fillId="7" borderId="10" applyAlignment="1" pivotButton="0" quotePrefix="0" xfId="0">
      <alignment vertical="bottom"/>
    </xf>
    <xf numFmtId="3" fontId="3" fillId="7" borderId="10" applyAlignment="1" pivotButton="0" quotePrefix="0" xfId="0">
      <alignment vertical="bottom"/>
    </xf>
    <xf numFmtId="0" fontId="5" fillId="8" borderId="9" applyAlignment="1" pivotButton="0" quotePrefix="0" xfId="0">
      <alignment vertical="bottom"/>
    </xf>
    <xf numFmtId="3" fontId="5" fillId="8" borderId="10" applyAlignment="1" pivotButton="0" quotePrefix="0" xfId="0">
      <alignment vertical="bottom"/>
    </xf>
    <xf numFmtId="3" fontId="3" fillId="8" borderId="12" applyAlignment="1" pivotButton="0" quotePrefix="0" xfId="0">
      <alignment vertical="bottom"/>
    </xf>
    <xf numFmtId="0" fontId="3" fillId="8" borderId="9" applyAlignment="1" pivotButton="0" quotePrefix="0" xfId="0">
      <alignment vertical="bottom"/>
    </xf>
    <xf numFmtId="3" fontId="5" fillId="8" borderId="10" applyAlignment="1" pivotButton="0" quotePrefix="0" xfId="0">
      <alignment vertical="bottom"/>
    </xf>
    <xf numFmtId="0" fontId="5" fillId="9" borderId="9" applyAlignment="1" pivotButton="0" quotePrefix="0" xfId="0">
      <alignment vertical="bottom"/>
    </xf>
    <xf numFmtId="3" fontId="5" fillId="9" borderId="10" applyAlignment="1" pivotButton="0" quotePrefix="0" xfId="0">
      <alignment vertical="bottom"/>
    </xf>
    <xf numFmtId="3" fontId="3" fillId="9" borderId="12" applyAlignment="1" pivotButton="0" quotePrefix="0" xfId="0">
      <alignment vertical="bottom"/>
    </xf>
    <xf numFmtId="0" fontId="5" fillId="9" borderId="9" applyAlignment="1" pivotButton="0" quotePrefix="0" xfId="0">
      <alignment vertical="bottom"/>
    </xf>
    <xf numFmtId="0" fontId="3" fillId="9" borderId="9" applyAlignment="1" pivotButton="0" quotePrefix="0" xfId="0">
      <alignment vertical="bottom"/>
    </xf>
    <xf numFmtId="3" fontId="5" fillId="9" borderId="10" applyAlignment="1" pivotButton="0" quotePrefix="0" xfId="0">
      <alignment vertical="bottom"/>
    </xf>
    <xf numFmtId="0" fontId="5" fillId="10" borderId="9" applyAlignment="1" pivotButton="0" quotePrefix="0" xfId="0">
      <alignment vertical="bottom"/>
    </xf>
    <xf numFmtId="3" fontId="5" fillId="10" borderId="10" applyAlignment="1" pivotButton="0" quotePrefix="0" xfId="0">
      <alignment vertical="bottom"/>
    </xf>
    <xf numFmtId="3" fontId="3" fillId="10" borderId="12" applyAlignment="1" pivotButton="0" quotePrefix="0" xfId="0">
      <alignment vertical="bottom"/>
    </xf>
    <xf numFmtId="0" fontId="5" fillId="10" borderId="9" applyAlignment="1" pivotButton="0" quotePrefix="0" xfId="0">
      <alignment vertical="bottom"/>
    </xf>
    <xf numFmtId="0" fontId="3" fillId="10" borderId="9" applyAlignment="1" pivotButton="0" quotePrefix="0" xfId="0">
      <alignment vertical="bottom"/>
    </xf>
    <xf numFmtId="3" fontId="5" fillId="10" borderId="10" applyAlignment="1" pivotButton="0" quotePrefix="0" xfId="0">
      <alignment vertical="bottom"/>
    </xf>
    <xf numFmtId="0" fontId="5" fillId="11" borderId="9" applyAlignment="1" pivotButton="0" quotePrefix="0" xfId="0">
      <alignment vertical="bottom"/>
    </xf>
    <xf numFmtId="3" fontId="5" fillId="11" borderId="10" applyAlignment="1" pivotButton="0" quotePrefix="0" xfId="0">
      <alignment vertical="bottom"/>
    </xf>
    <xf numFmtId="3" fontId="3" fillId="11" borderId="12" applyAlignment="1" pivotButton="0" quotePrefix="0" xfId="0">
      <alignment vertical="bottom"/>
    </xf>
    <xf numFmtId="0" fontId="5" fillId="11" borderId="9" applyAlignment="1" pivotButton="0" quotePrefix="0" xfId="0">
      <alignment vertical="bottom"/>
    </xf>
    <xf numFmtId="0" fontId="3" fillId="11" borderId="9" applyAlignment="1" pivotButton="0" quotePrefix="0" xfId="0">
      <alignment vertical="bottom"/>
    </xf>
    <xf numFmtId="3" fontId="5" fillId="11" borderId="10" applyAlignment="1" pivotButton="0" quotePrefix="0" xfId="0">
      <alignment vertical="bottom"/>
    </xf>
    <xf numFmtId="0" fontId="5" fillId="2" borderId="9" applyAlignment="1" pivotButton="0" quotePrefix="0" xfId="0">
      <alignment vertical="bottom"/>
    </xf>
    <xf numFmtId="3" fontId="5" fillId="2" borderId="10" applyAlignment="1" pivotButton="0" quotePrefix="0" xfId="0">
      <alignment vertical="bottom"/>
    </xf>
    <xf numFmtId="3" fontId="3" fillId="2" borderId="12" applyAlignment="1" pivotButton="0" quotePrefix="0" xfId="0">
      <alignment vertical="bottom"/>
    </xf>
    <xf numFmtId="0" fontId="3" fillId="2" borderId="9" applyAlignment="1" pivotButton="0" quotePrefix="0" xfId="0">
      <alignment vertical="bottom"/>
    </xf>
    <xf numFmtId="0" fontId="3" fillId="5" borderId="20" applyAlignment="1" pivotButton="0" quotePrefix="0" xfId="0">
      <alignment vertical="bottom"/>
    </xf>
    <xf numFmtId="3" fontId="5" fillId="5" borderId="2" applyAlignment="1" pivotButton="0" quotePrefix="0" xfId="0">
      <alignment vertical="bottom"/>
    </xf>
    <xf numFmtId="3" fontId="5" fillId="5" borderId="2" applyAlignment="1" pivotButton="0" quotePrefix="0" xfId="0">
      <alignment vertical="bottom"/>
    </xf>
    <xf numFmtId="3" fontId="3" fillId="5" borderId="12" applyAlignment="1" pivotButton="0" quotePrefix="0" xfId="0">
      <alignment vertical="bottom"/>
    </xf>
    <xf numFmtId="3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3" fillId="12" borderId="17" applyAlignment="1" pivotButton="0" quotePrefix="0" xfId="0">
      <alignment vertical="bottom"/>
    </xf>
    <xf numFmtId="3" fontId="9" fillId="12" borderId="18" applyAlignment="1" pivotButton="0" quotePrefix="0" xfId="0">
      <alignment vertical="bottom"/>
    </xf>
    <xf numFmtId="3" fontId="9" fillId="12" borderId="12" applyAlignment="1" pivotButton="0" quotePrefix="0" xfId="0">
      <alignment vertical="bottom"/>
    </xf>
    <xf numFmtId="0" fontId="13" fillId="13" borderId="21" applyAlignment="1" pivotButton="0" quotePrefix="0" xfId="0">
      <alignment vertical="bottom"/>
    </xf>
    <xf numFmtId="164" fontId="14" fillId="13" borderId="22" applyAlignment="1" pivotButton="0" quotePrefix="0" xfId="0">
      <alignment vertical="bottom"/>
    </xf>
    <xf numFmtId="164" fontId="14" fillId="13" borderId="8" applyAlignment="1" pivotButton="0" quotePrefix="0" xfId="0">
      <alignment vertical="bottom"/>
    </xf>
    <xf numFmtId="0" fontId="13" fillId="13" borderId="13" applyAlignment="1" pivotButton="0" quotePrefix="0" xfId="0">
      <alignment vertical="bottom"/>
    </xf>
    <xf numFmtId="164" fontId="14" fillId="13" borderId="10" applyAlignment="1" pivotButton="0" quotePrefix="0" xfId="0">
      <alignment vertical="bottom"/>
    </xf>
    <xf numFmtId="164" fontId="14" fillId="13" borderId="13" applyAlignment="1" pivotButton="0" quotePrefix="0" xfId="0">
      <alignment vertical="bottom"/>
    </xf>
    <xf numFmtId="164" fontId="15" fillId="13" borderId="19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0" fillId="0" borderId="0" pivotButton="0" quotePrefix="0" xfId="0"/>
    <xf numFmtId="165" fontId="4" fillId="3" borderId="10" applyAlignment="1" pivotButton="0" quotePrefix="0" xfId="0">
      <alignment vertical="bottom"/>
    </xf>
    <xf numFmtId="165" fontId="4" fillId="3" borderId="11" applyAlignment="1" pivotButton="0" quotePrefix="0" xfId="0">
      <alignment vertical="bottom"/>
    </xf>
    <xf numFmtId="165" fontId="3" fillId="3" borderId="12" applyAlignment="1" pivotButton="0" quotePrefix="0" xfId="0">
      <alignment vertical="bottom"/>
    </xf>
    <xf numFmtId="165" fontId="6" fillId="3" borderId="10" applyAlignment="1" pivotButton="0" quotePrefix="0" xfId="0">
      <alignment vertical="bottom"/>
    </xf>
    <xf numFmtId="165" fontId="6" fillId="4" borderId="10" applyAlignment="1" pivotButton="0" quotePrefix="0" xfId="0">
      <alignment vertical="bottom"/>
    </xf>
    <xf numFmtId="165" fontId="4" fillId="4" borderId="10" applyAlignment="1" pivotButton="0" quotePrefix="0" xfId="0">
      <alignment vertical="bottom"/>
    </xf>
    <xf numFmtId="165" fontId="3" fillId="4" borderId="12" applyAlignment="1" pivotButton="0" quotePrefix="0" xfId="0">
      <alignment vertical="bottom"/>
    </xf>
    <xf numFmtId="165" fontId="6" fillId="4" borderId="13" applyAlignment="1" pivotButton="0" quotePrefix="0" xfId="0">
      <alignment vertical="bottom"/>
    </xf>
    <xf numFmtId="165" fontId="6" fillId="0" borderId="14" applyAlignment="1" pivotButton="0" quotePrefix="0" xfId="0">
      <alignment vertical="bottom"/>
    </xf>
    <xf numFmtId="165" fontId="6" fillId="0" borderId="13" applyAlignment="1" pivotButton="0" quotePrefix="0" xfId="0">
      <alignment vertical="bottom"/>
    </xf>
    <xf numFmtId="165" fontId="6" fillId="0" borderId="15" applyAlignment="1" pivotButton="0" quotePrefix="0" xfId="0">
      <alignment vertical="bottom"/>
    </xf>
    <xf numFmtId="165" fontId="3" fillId="0" borderId="12" applyAlignment="1" pivotButton="0" quotePrefix="0" xfId="0">
      <alignment vertical="bottom"/>
    </xf>
    <xf numFmtId="165" fontId="8" fillId="5" borderId="10" applyAlignment="1" pivotButton="0" quotePrefix="0" xfId="0">
      <alignment vertical="bottom"/>
    </xf>
    <xf numFmtId="165" fontId="8" fillId="5" borderId="13" applyAlignment="1" pivotButton="0" quotePrefix="0" xfId="0">
      <alignment vertical="bottom"/>
    </xf>
    <xf numFmtId="165" fontId="8" fillId="5" borderId="16" applyAlignment="1" pivotButton="0" quotePrefix="0" xfId="0">
      <alignment vertical="bottom"/>
    </xf>
    <xf numFmtId="165" fontId="7" fillId="5" borderId="12" applyAlignment="1" pivotButton="0" quotePrefix="0" xfId="0">
      <alignment vertical="bottom"/>
    </xf>
    <xf numFmtId="165" fontId="5" fillId="7" borderId="10" applyAlignment="1" pivotButton="0" quotePrefix="0" xfId="0">
      <alignment vertical="bottom"/>
    </xf>
    <xf numFmtId="165" fontId="3" fillId="7" borderId="12" applyAlignment="1" pivotButton="0" quotePrefix="0" xfId="0">
      <alignment vertical="bottom"/>
    </xf>
    <xf numFmtId="165" fontId="5" fillId="8" borderId="10" applyAlignment="1" pivotButton="0" quotePrefix="0" xfId="0">
      <alignment vertical="bottom"/>
    </xf>
    <xf numFmtId="165" fontId="3" fillId="8" borderId="12" applyAlignment="1" pivotButton="0" quotePrefix="0" xfId="0">
      <alignment vertical="bottom"/>
    </xf>
    <xf numFmtId="165" fontId="5" fillId="9" borderId="10" applyAlignment="1" pivotButton="0" quotePrefix="0" xfId="0">
      <alignment vertical="bottom"/>
    </xf>
    <xf numFmtId="165" fontId="3" fillId="9" borderId="12" applyAlignment="1" pivotButton="0" quotePrefix="0" xfId="0">
      <alignment vertical="bottom"/>
    </xf>
    <xf numFmtId="165" fontId="5" fillId="10" borderId="10" applyAlignment="1" pivotButton="0" quotePrefix="0" xfId="0">
      <alignment vertical="bottom"/>
    </xf>
    <xf numFmtId="165" fontId="3" fillId="10" borderId="12" applyAlignment="1" pivotButton="0" quotePrefix="0" xfId="0">
      <alignment vertical="bottom"/>
    </xf>
    <xf numFmtId="165" fontId="5" fillId="11" borderId="10" applyAlignment="1" pivotButton="0" quotePrefix="0" xfId="0">
      <alignment vertical="bottom"/>
    </xf>
    <xf numFmtId="165" fontId="3" fillId="11" borderId="12" applyAlignment="1" pivotButton="0" quotePrefix="0" xfId="0">
      <alignment vertical="bottom"/>
    </xf>
    <xf numFmtId="165" fontId="5" fillId="2" borderId="10" applyAlignment="1" pivotButton="0" quotePrefix="0" xfId="0">
      <alignment vertical="bottom"/>
    </xf>
    <xf numFmtId="165" fontId="3" fillId="2" borderId="12" applyAlignment="1" pivotButton="0" quotePrefix="0" xfId="0">
      <alignment vertical="bottom"/>
    </xf>
    <xf numFmtId="165" fontId="5" fillId="5" borderId="2" applyAlignment="1" pivotButton="0" quotePrefix="0" xfId="0">
      <alignment vertical="bottom"/>
    </xf>
    <xf numFmtId="165" fontId="3" fillId="5" borderId="12" applyAlignment="1" pivotButton="0" quotePrefix="0" xfId="0">
      <alignment vertical="bottom"/>
    </xf>
    <xf numFmtId="165" fontId="16" fillId="0" borderId="0" applyAlignment="1" pivotButton="0" quotePrefix="0" xfId="0">
      <alignment vertical="bottom"/>
    </xf>
    <xf numFmtId="0" fontId="23" fillId="0" borderId="0" applyAlignment="1" pivotButton="0" quotePrefix="0" xfId="0">
      <alignment vertical="bottom"/>
    </xf>
    <xf numFmtId="1" fontId="23" fillId="0" borderId="0" applyAlignment="1" pivotButton="0" quotePrefix="0" xfId="0">
      <alignment vertical="bottom"/>
    </xf>
    <xf numFmtId="165" fontId="23" fillId="0" borderId="0" applyAlignment="1" pivotButton="0" quotePrefix="0" xfId="0">
      <alignment vertical="bottom"/>
    </xf>
    <xf numFmtId="166" fontId="23" fillId="0" borderId="0" applyAlignment="1" pivotButton="0" quotePrefix="0" xfId="0">
      <alignment vertical="bottom"/>
    </xf>
    <xf numFmtId="0" fontId="20" fillId="15" borderId="0" applyAlignment="1" pivotButton="0" quotePrefix="0" xfId="0">
      <alignment vertical="bottom"/>
    </xf>
    <xf numFmtId="165" fontId="21" fillId="17" borderId="0" applyAlignment="1" pivotButton="0" quotePrefix="0" xfId="0">
      <alignment vertical="bottom"/>
    </xf>
    <xf numFmtId="166" fontId="21" fillId="17" borderId="0" applyAlignment="1" pivotButton="0" quotePrefix="0" xfId="0">
      <alignment vertical="bottom"/>
    </xf>
    <xf numFmtId="1" fontId="21" fillId="17" borderId="0" applyAlignment="1" pivotButton="0" quotePrefix="0" xfId="0">
      <alignment vertical="bottom"/>
    </xf>
    <xf numFmtId="0" fontId="21" fillId="17" borderId="0" applyAlignment="1" pivotButton="0" quotePrefix="0" xfId="0">
      <alignment vertical="bottom"/>
    </xf>
    <xf numFmtId="0" fontId="18" fillId="14" borderId="0" pivotButton="0" quotePrefix="0" xfId="0"/>
    <xf numFmtId="0" fontId="19" fillId="0" borderId="0" pivotButton="0" quotePrefix="0" xfId="0"/>
    <xf numFmtId="0" fontId="20" fillId="15" borderId="0" pivotButton="0" quotePrefix="0" xfId="0"/>
    <xf numFmtId="165" fontId="0" fillId="16" borderId="23" applyAlignment="1" pivotButton="0" quotePrefix="0" xfId="0">
      <alignment horizontal="right"/>
    </xf>
    <xf numFmtId="0" fontId="17" fillId="0" borderId="0" pivotButton="0" quotePrefix="0" xfId="0"/>
    <xf numFmtId="166" fontId="0" fillId="16" borderId="23" applyAlignment="1" pivotButton="0" quotePrefix="0" xfId="0">
      <alignment horizontal="right"/>
    </xf>
    <xf numFmtId="0" fontId="0" fillId="0" borderId="23" pivotButton="0" quotePrefix="0" xfId="0"/>
    <xf numFmtId="1" fontId="22" fillId="16" borderId="23" applyAlignment="1" pivotButton="0" quotePrefix="0" xfId="0">
      <alignment horizontal="right"/>
    </xf>
    <xf numFmtId="0" fontId="17" fillId="0" borderId="23" pivotButton="0" quotePrefix="0" xfId="0"/>
    <xf numFmtId="0" fontId="20" fillId="15" borderId="23" applyAlignment="1" pivotButton="0" quotePrefix="0" xfId="0">
      <alignment horizontal="center"/>
    </xf>
    <xf numFmtId="3" fontId="21" fillId="17" borderId="23" pivotButton="0" quotePrefix="0" xfId="0"/>
    <xf numFmtId="3" fontId="0" fillId="16" borderId="23" applyAlignment="1" pivotButton="0" quotePrefix="0" xfId="0">
      <alignment horizontal="right"/>
    </xf>
    <xf numFmtId="166" fontId="21" fillId="17" borderId="23" pivotButton="0" quotePrefix="0" xfId="0"/>
    <xf numFmtId="1" fontId="0" fillId="16" borderId="23" applyAlignment="1" pivotButton="0" quotePrefix="0" xfId="0">
      <alignment horizontal="right"/>
    </xf>
    <xf numFmtId="2" fontId="0" fillId="16" borderId="23" applyAlignment="1" pivotButton="0" quotePrefix="0" xfId="0">
      <alignment horizontal="right"/>
    </xf>
    <xf numFmtId="165" fontId="21" fillId="17" borderId="23" applyAlignment="1" pivotButton="0" quotePrefix="0" xfId="0">
      <alignment horizontal="right"/>
    </xf>
    <xf numFmtId="166" fontId="21" fillId="17" borderId="23" applyAlignment="1" pivotButton="0" quotePrefix="0" xfId="0">
      <alignment horizontal="right"/>
    </xf>
    <xf numFmtId="0" fontId="24" fillId="14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vertical="top" wrapText="1"/>
    </xf>
    <xf numFmtId="165" fontId="20" fillId="0" borderId="0" pivotButton="0" quotePrefix="0" xfId="0"/>
    <xf numFmtId="166" fontId="20" fillId="0" borderId="0" pivotButton="0" quotePrefix="0" xfId="0"/>
    <xf numFmtId="1" fontId="2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erriweather Sans"/>
        <a:ea typeface="Merriweather Sans"/>
        <a:cs typeface="Merriweather Sans"/>
      </a:majorFont>
      <a:minorFont>
        <a:latin typeface="Merriweather Sans"/>
        <a:ea typeface="Merriweather Sans"/>
        <a:cs typeface="Merriweather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1" sqref="B1"/>
      <selection pane="bottomLeft" activeCell="A2" sqref="A2"/>
      <selection pane="bottomRight" activeCell="B2" sqref="B2"/>
    </sheetView>
  </sheetViews>
  <sheetFormatPr baseColWidth="8" defaultColWidth="12.63" defaultRowHeight="15" customHeight="1"/>
  <cols>
    <col width="46" customWidth="1" style="92" min="1" max="1"/>
    <col width="13.88" customWidth="1" style="92" min="2" max="26"/>
    <col width="16" customWidth="1" style="92" min="27" max="28"/>
  </cols>
  <sheetData>
    <row r="1" ht="15" customHeight="1" s="92">
      <c r="A1" s="1" t="inlineStr">
        <is>
          <t>месяц</t>
        </is>
      </c>
      <c r="B1" s="3" t="n">
        <v>2025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4" t="n">
        <v>24</v>
      </c>
      <c r="Z1" s="5" t="n"/>
      <c r="AA1" s="6" t="n"/>
      <c r="AB1" s="6" t="n"/>
    </row>
    <row r="2" ht="15" customHeight="1" s="92">
      <c r="A2" s="7" t="inlineStr">
        <is>
          <t>ПРИХОД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9" t="n"/>
      <c r="Z2" s="10">
        <f>SUM(Z3:Z10)</f>
        <v/>
      </c>
      <c r="AA2" s="6" t="n"/>
      <c r="AB2" s="6" t="n"/>
    </row>
    <row r="3" ht="15" customHeight="1" s="92">
      <c r="A3" s="11" t="inlineStr">
        <is>
          <t>Продажа товара 1 — футболка «Базовая»</t>
        </is>
      </c>
      <c r="B3" s="93">
        <f>B4*B5</f>
        <v/>
      </c>
      <c r="C3" s="93">
        <f>C4*C5</f>
        <v/>
      </c>
      <c r="D3" s="93">
        <f>D4*D5</f>
        <v/>
      </c>
      <c r="E3" s="93">
        <f>E4*E5</f>
        <v/>
      </c>
      <c r="F3" s="93">
        <f>F4*F5</f>
        <v/>
      </c>
      <c r="G3" s="93">
        <f>G4*G5</f>
        <v/>
      </c>
      <c r="H3" s="93">
        <f>H4*H5</f>
        <v/>
      </c>
      <c r="I3" s="93">
        <f>I4*I5</f>
        <v/>
      </c>
      <c r="J3" s="93">
        <f>J4*J5</f>
        <v/>
      </c>
      <c r="K3" s="93">
        <f>K4*K5</f>
        <v/>
      </c>
      <c r="L3" s="93">
        <f>L4*L5</f>
        <v/>
      </c>
      <c r="M3" s="93">
        <f>M4*M5</f>
        <v/>
      </c>
      <c r="N3" s="93">
        <f>N4*N5</f>
        <v/>
      </c>
      <c r="O3" s="93">
        <f>O4*O5</f>
        <v/>
      </c>
      <c r="P3" s="93">
        <f>P4*P5</f>
        <v/>
      </c>
      <c r="Q3" s="93">
        <f>Q4*Q5</f>
        <v/>
      </c>
      <c r="R3" s="93">
        <f>R4*R5</f>
        <v/>
      </c>
      <c r="S3" s="93">
        <f>S4*S5</f>
        <v/>
      </c>
      <c r="T3" s="93">
        <f>T4*T5</f>
        <v/>
      </c>
      <c r="U3" s="93">
        <f>U4*U5</f>
        <v/>
      </c>
      <c r="V3" s="93">
        <f>V4*V5</f>
        <v/>
      </c>
      <c r="W3" s="93">
        <f>W4*W5</f>
        <v/>
      </c>
      <c r="X3" s="93">
        <f>X4*X5</f>
        <v/>
      </c>
      <c r="Y3" s="94">
        <f>Y4*Y5</f>
        <v/>
      </c>
      <c r="Z3" s="95">
        <f>SUM(B3:Y3)</f>
        <v/>
      </c>
      <c r="AA3" s="6" t="n"/>
      <c r="AB3" s="6" t="n"/>
    </row>
    <row r="4" ht="15" customHeight="1" s="92">
      <c r="A4" s="15" t="inlineStr">
        <is>
          <t>Количество продаж</t>
        </is>
      </c>
      <c r="B4" s="16">
        <f>Параметры!$B$12</f>
        <v/>
      </c>
      <c r="C4" s="17">
        <f>ROUND(B4*(1+IF(C$48&lt;=12,Параметры!$B$13,Параметры!$B$14)),0)</f>
        <v/>
      </c>
      <c r="D4" s="17">
        <f>ROUND(C4*(1+IF(D$48&lt;=12,Параметры!$B$13,Параметры!$B$14)),0)</f>
        <v/>
      </c>
      <c r="E4" s="17">
        <f>ROUND(D4*(1+IF(E$48&lt;=12,Параметры!$B$13,Параметры!$B$14)),0)</f>
        <v/>
      </c>
      <c r="F4" s="17">
        <f>ROUND(E4*(1+IF(F$48&lt;=12,Параметры!$B$13,Параметры!$B$14)),0)</f>
        <v/>
      </c>
      <c r="G4" s="17">
        <f>ROUND(F4*(1+IF(G$48&lt;=12,Параметры!$B$13,Параметры!$B$14)),0)</f>
        <v/>
      </c>
      <c r="H4" s="17">
        <f>ROUND(G4*(1+IF(H$48&lt;=12,Параметры!$B$13,Параметры!$B$14)),0)</f>
        <v/>
      </c>
      <c r="I4" s="17">
        <f>ROUND(H4*(1+IF(I$48&lt;=12,Параметры!$B$13,Параметры!$B$14)),0)</f>
        <v/>
      </c>
      <c r="J4" s="17">
        <f>ROUND(I4*(1+IF(J$48&lt;=12,Параметры!$B$13,Параметры!$B$14)),0)</f>
        <v/>
      </c>
      <c r="K4" s="17">
        <f>ROUND(J4*(1+IF(K$48&lt;=12,Параметры!$B$13,Параметры!$B$14)),0)</f>
        <v/>
      </c>
      <c r="L4" s="17">
        <f>ROUND(K4*(1+IF(L$48&lt;=12,Параметры!$B$13,Параметры!$B$14)),0)</f>
        <v/>
      </c>
      <c r="M4" s="17">
        <f>ROUND(L4*(1+IF(M$48&lt;=12,Параметры!$B$13,Параметры!$B$14)),0)</f>
        <v/>
      </c>
      <c r="N4" s="17">
        <f>ROUND(M4*(1+IF(N$48&lt;=12,Параметры!$B$13,Параметры!$B$14)),0)</f>
        <v/>
      </c>
      <c r="O4" s="17">
        <f>ROUND(N4*(1+IF(O$48&lt;=12,Параметры!$B$13,Параметры!$B$14)),0)</f>
        <v/>
      </c>
      <c r="P4" s="17">
        <f>ROUND(O4*(1+IF(P$48&lt;=12,Параметры!$B$13,Параметры!$B$14)),0)</f>
        <v/>
      </c>
      <c r="Q4" s="17">
        <f>ROUND(P4*(1+IF(Q$48&lt;=12,Параметры!$B$13,Параметры!$B$14)),0)</f>
        <v/>
      </c>
      <c r="R4" s="17">
        <f>ROUND(Q4*(1+IF(R$48&lt;=12,Параметры!$B$13,Параметры!$B$14)),0)</f>
        <v/>
      </c>
      <c r="S4" s="17">
        <f>ROUND(R4*(1+IF(S$48&lt;=12,Параметры!$B$13,Параметры!$B$14)),0)</f>
        <v/>
      </c>
      <c r="T4" s="17">
        <f>ROUND(S4*(1+IF(T$48&lt;=12,Параметры!$B$13,Параметры!$B$14)),0)</f>
        <v/>
      </c>
      <c r="U4" s="17">
        <f>ROUND(T4*(1+IF(U$48&lt;=12,Параметры!$B$13,Параметры!$B$14)),0)</f>
        <v/>
      </c>
      <c r="V4" s="17">
        <f>ROUND(U4*(1+IF(V$48&lt;=12,Параметры!$B$13,Параметры!$B$14)),0)</f>
        <v/>
      </c>
      <c r="W4" s="17">
        <f>ROUND(V4*(1+IF(W$48&lt;=12,Параметры!$B$13,Параметры!$B$14)),0)</f>
        <v/>
      </c>
      <c r="X4" s="17">
        <f>ROUND(W4*(1+IF(X$48&lt;=12,Параметры!$B$13,Параметры!$B$14)),0)</f>
        <v/>
      </c>
      <c r="Y4" s="17">
        <f>ROUND(X4*(1+IF(Y$48&lt;=12,Параметры!$B$13,Параметры!$B$14)),0)</f>
        <v/>
      </c>
      <c r="Z4" s="14" t="n"/>
      <c r="AA4" s="6" t="n"/>
      <c r="AB4" s="6" t="n"/>
    </row>
    <row r="5" ht="15" customHeight="1" s="92">
      <c r="A5" s="15" t="inlineStr">
        <is>
          <t>Cредний чек</t>
        </is>
      </c>
      <c r="B5" s="96">
        <f>Параметры!$B$4</f>
        <v/>
      </c>
      <c r="C5" s="96">
        <f>Параметры!$B$4</f>
        <v/>
      </c>
      <c r="D5" s="96">
        <f>Параметры!$B$4</f>
        <v/>
      </c>
      <c r="E5" s="96">
        <f>Параметры!$B$4</f>
        <v/>
      </c>
      <c r="F5" s="96">
        <f>Параметры!$B$4</f>
        <v/>
      </c>
      <c r="G5" s="96">
        <f>Параметры!$B$4</f>
        <v/>
      </c>
      <c r="H5" s="96">
        <f>Параметры!$B$4</f>
        <v/>
      </c>
      <c r="I5" s="96">
        <f>Параметры!$B$4</f>
        <v/>
      </c>
      <c r="J5" s="96">
        <f>Параметры!$B$4</f>
        <v/>
      </c>
      <c r="K5" s="96">
        <f>Параметры!$B$4</f>
        <v/>
      </c>
      <c r="L5" s="96">
        <f>Параметры!$B$4</f>
        <v/>
      </c>
      <c r="M5" s="96">
        <f>Параметры!$B$4</f>
        <v/>
      </c>
      <c r="N5" s="96">
        <f>Параметры!$B$4</f>
        <v/>
      </c>
      <c r="O5" s="96">
        <f>Параметры!$B$4</f>
        <v/>
      </c>
      <c r="P5" s="96">
        <f>Параметры!$B$4</f>
        <v/>
      </c>
      <c r="Q5" s="96">
        <f>Параметры!$B$4</f>
        <v/>
      </c>
      <c r="R5" s="96">
        <f>Параметры!$B$4</f>
        <v/>
      </c>
      <c r="S5" s="96">
        <f>Параметры!$B$4</f>
        <v/>
      </c>
      <c r="T5" s="96">
        <f>Параметры!$B$4</f>
        <v/>
      </c>
      <c r="U5" s="96">
        <f>Параметры!$B$4</f>
        <v/>
      </c>
      <c r="V5" s="96">
        <f>Параметры!$B$4</f>
        <v/>
      </c>
      <c r="W5" s="96">
        <f>Параметры!$B$4</f>
        <v/>
      </c>
      <c r="X5" s="96">
        <f>Параметры!$B$4</f>
        <v/>
      </c>
      <c r="Y5" s="96">
        <f>Параметры!$B$4</f>
        <v/>
      </c>
      <c r="Z5" s="14" t="n"/>
      <c r="AA5" s="6" t="n"/>
      <c r="AB5" s="6" t="n"/>
    </row>
    <row r="6" ht="15" customHeight="1" s="92">
      <c r="A6" s="18" t="inlineStr">
        <is>
          <t>Продажа товара 2 — футболка «Pro» / кастом-принт</t>
        </is>
      </c>
      <c r="B6" s="97">
        <f>B7*B8</f>
        <v/>
      </c>
      <c r="C6" s="98">
        <f>C7*C8</f>
        <v/>
      </c>
      <c r="D6" s="98">
        <f>D7*D8</f>
        <v/>
      </c>
      <c r="E6" s="98">
        <f>E7*E8</f>
        <v/>
      </c>
      <c r="F6" s="98">
        <f>F7*F8</f>
        <v/>
      </c>
      <c r="G6" s="98">
        <f>G7*G8</f>
        <v/>
      </c>
      <c r="H6" s="98">
        <f>H7*H8</f>
        <v/>
      </c>
      <c r="I6" s="98">
        <f>I7*I8</f>
        <v/>
      </c>
      <c r="J6" s="98">
        <f>J7*J8</f>
        <v/>
      </c>
      <c r="K6" s="98">
        <f>K7*K8</f>
        <v/>
      </c>
      <c r="L6" s="98">
        <f>L7*L8</f>
        <v/>
      </c>
      <c r="M6" s="98">
        <f>M7*M8</f>
        <v/>
      </c>
      <c r="N6" s="98">
        <f>N7*N8</f>
        <v/>
      </c>
      <c r="O6" s="98">
        <f>O7*O8</f>
        <v/>
      </c>
      <c r="P6" s="98">
        <f>P7*P8</f>
        <v/>
      </c>
      <c r="Q6" s="98">
        <f>Q7*Q8</f>
        <v/>
      </c>
      <c r="R6" s="98">
        <f>R7*R8</f>
        <v/>
      </c>
      <c r="S6" s="98">
        <f>S7*S8</f>
        <v/>
      </c>
      <c r="T6" s="98">
        <f>T7*T8</f>
        <v/>
      </c>
      <c r="U6" s="98">
        <f>U7*U8</f>
        <v/>
      </c>
      <c r="V6" s="98">
        <f>V7*V8</f>
        <v/>
      </c>
      <c r="W6" s="98">
        <f>W7*W8</f>
        <v/>
      </c>
      <c r="X6" s="98">
        <f>X7*X8</f>
        <v/>
      </c>
      <c r="Y6" s="98">
        <f>Y7*Y8</f>
        <v/>
      </c>
      <c r="Z6" s="99">
        <f>SUM(B6:Y6)</f>
        <v/>
      </c>
      <c r="AA6" s="6" t="n"/>
      <c r="AB6" s="6" t="n"/>
    </row>
    <row r="7" ht="15" customHeight="1" s="92">
      <c r="A7" s="22" t="inlineStr">
        <is>
          <t>Количество продаж</t>
        </is>
      </c>
      <c r="B7" s="23">
        <f>IF(B$48&lt;Параметры!$B$15,0,Параметры!$B$16)</f>
        <v/>
      </c>
      <c r="C7" s="24">
        <f>IF(C$48&lt;Параметры!$B$15,0,IF(B7=0,Параметры!$B$16,ROUND(B7*(1+IF(C$48&lt;=12,Параметры!$B$17,Параметры!$B$18)),0)))</f>
        <v/>
      </c>
      <c r="D7" s="24">
        <f>IF(D$48&lt;Параметры!$B$15,0,IF(C7=0,Параметры!$B$16,ROUND(C7*(1+IF(D$48&lt;=12,Параметры!$B$17,Параметры!$B$18)),0)))</f>
        <v/>
      </c>
      <c r="E7" s="25">
        <f>IF(E$48&lt;Параметры!$B$15,0,IF(D7=0,Параметры!$B$16,ROUND(D7*(1+IF(E$48&lt;=12,Параметры!$B$17,Параметры!$B$18)),0)))</f>
        <v/>
      </c>
      <c r="F7" s="25">
        <f>IF(F$48&lt;Параметры!$B$15,0,IF(E7=0,Параметры!$B$16,ROUND(E7*(1+IF(F$48&lt;=12,Параметры!$B$17,Параметры!$B$18)),0)))</f>
        <v/>
      </c>
      <c r="G7" s="25">
        <f>IF(G$48&lt;Параметры!$B$15,0,IF(F7=0,Параметры!$B$16,ROUND(F7*(1+IF(G$48&lt;=12,Параметры!$B$17,Параметры!$B$18)),0)))</f>
        <v/>
      </c>
      <c r="H7" s="25">
        <f>IF(H$48&lt;Параметры!$B$15,0,IF(G7=0,Параметры!$B$16,ROUND(G7*(1+IF(H$48&lt;=12,Параметры!$B$17,Параметры!$B$18)),0)))</f>
        <v/>
      </c>
      <c r="I7" s="25">
        <f>IF(I$48&lt;Параметры!$B$15,0,IF(H7=0,Параметры!$B$16,ROUND(H7*(1+IF(I$48&lt;=12,Параметры!$B$17,Параметры!$B$18)),0)))</f>
        <v/>
      </c>
      <c r="J7" s="25">
        <f>IF(J$48&lt;Параметры!$B$15,0,IF(I7=0,Параметры!$B$16,ROUND(I7*(1+IF(J$48&lt;=12,Параметры!$B$17,Параметры!$B$18)),0)))</f>
        <v/>
      </c>
      <c r="K7" s="25">
        <f>IF(K$48&lt;Параметры!$B$15,0,IF(J7=0,Параметры!$B$16,ROUND(J7*(1+IF(K$48&lt;=12,Параметры!$B$17,Параметры!$B$18)),0)))</f>
        <v/>
      </c>
      <c r="L7" s="25">
        <f>IF(L$48&lt;Параметры!$B$15,0,IF(K7=0,Параметры!$B$16,ROUND(K7*(1+IF(L$48&lt;=12,Параметры!$B$17,Параметры!$B$18)),0)))</f>
        <v/>
      </c>
      <c r="M7" s="25">
        <f>IF(M$48&lt;Параметры!$B$15,0,IF(L7=0,Параметры!$B$16,ROUND(L7*(1+IF(M$48&lt;=12,Параметры!$B$17,Параметры!$B$18)),0)))</f>
        <v/>
      </c>
      <c r="N7" s="25">
        <f>IF(N$48&lt;Параметры!$B$15,0,IF(M7=0,Параметры!$B$16,ROUND(M7*(1+IF(N$48&lt;=12,Параметры!$B$17,Параметры!$B$18)),0)))</f>
        <v/>
      </c>
      <c r="O7" s="25">
        <f>IF(O$48&lt;Параметры!$B$15,0,IF(N7=0,Параметры!$B$16,ROUND(N7*(1+IF(O$48&lt;=12,Параметры!$B$17,Параметры!$B$18)),0)))</f>
        <v/>
      </c>
      <c r="P7" s="25">
        <f>IF(P$48&lt;Параметры!$B$15,0,IF(O7=0,Параметры!$B$16,ROUND(O7*(1+IF(P$48&lt;=12,Параметры!$B$17,Параметры!$B$18)),0)))</f>
        <v/>
      </c>
      <c r="Q7" s="25">
        <f>IF(Q$48&lt;Параметры!$B$15,0,IF(P7=0,Параметры!$B$16,ROUND(P7*(1+IF(Q$48&lt;=12,Параметры!$B$17,Параметры!$B$18)),0)))</f>
        <v/>
      </c>
      <c r="R7" s="25">
        <f>IF(R$48&lt;Параметры!$B$15,0,IF(Q7=0,Параметры!$B$16,ROUND(Q7*(1+IF(R$48&lt;=12,Параметры!$B$17,Параметры!$B$18)),0)))</f>
        <v/>
      </c>
      <c r="S7" s="25">
        <f>IF(S$48&lt;Параметры!$B$15,0,IF(R7=0,Параметры!$B$16,ROUND(R7*(1+IF(S$48&lt;=12,Параметры!$B$17,Параметры!$B$18)),0)))</f>
        <v/>
      </c>
      <c r="T7" s="25">
        <f>IF(T$48&lt;Параметры!$B$15,0,IF(S7=0,Параметры!$B$16,ROUND(S7*(1+IF(T$48&lt;=12,Параметры!$B$17,Параметры!$B$18)),0)))</f>
        <v/>
      </c>
      <c r="U7" s="25">
        <f>IF(U$48&lt;Параметры!$B$15,0,IF(T7=0,Параметры!$B$16,ROUND(T7*(1+IF(U$48&lt;=12,Параметры!$B$17,Параметры!$B$18)),0)))</f>
        <v/>
      </c>
      <c r="V7" s="25">
        <f>IF(V$48&lt;Параметры!$B$15,0,IF(U7=0,Параметры!$B$16,ROUND(U7*(1+IF(V$48&lt;=12,Параметры!$B$17,Параметры!$B$18)),0)))</f>
        <v/>
      </c>
      <c r="W7" s="25">
        <f>IF(W$48&lt;Параметры!$B$15,0,IF(V7=0,Параметры!$B$16,ROUND(V7*(1+IF(W$48&lt;=12,Параметры!$B$17,Параметры!$B$18)),0)))</f>
        <v/>
      </c>
      <c r="X7" s="25">
        <f>IF(X$48&lt;Параметры!$B$15,0,IF(W7=0,Параметры!$B$16,ROUND(W7*(1+IF(X$48&lt;=12,Параметры!$B$17,Параметры!$B$18)),0)))</f>
        <v/>
      </c>
      <c r="Y7" s="25">
        <f>IF(Y$48&lt;Параметры!$B$15,0,IF(X7=0,Параметры!$B$16,ROUND(X7*(1+IF(Y$48&lt;=12,Параметры!$B$17,Параметры!$B$18)),0)))</f>
        <v/>
      </c>
      <c r="Z7" s="21" t="n"/>
      <c r="AA7" s="6" t="n"/>
      <c r="AB7" s="6" t="n"/>
    </row>
    <row r="8" ht="15" customHeight="1" s="92">
      <c r="A8" s="22" t="inlineStr">
        <is>
          <t>Средний чек</t>
        </is>
      </c>
      <c r="B8" s="97">
        <f>Параметры!$B$6</f>
        <v/>
      </c>
      <c r="C8" s="100">
        <f>Параметры!$B$6</f>
        <v/>
      </c>
      <c r="D8" s="100">
        <f>Параметры!$B$6</f>
        <v/>
      </c>
      <c r="E8" s="100">
        <f>Параметры!$B$6</f>
        <v/>
      </c>
      <c r="F8" s="100">
        <f>Параметры!$B$6</f>
        <v/>
      </c>
      <c r="G8" s="100">
        <f>Параметры!$B$6</f>
        <v/>
      </c>
      <c r="H8" s="100">
        <f>Параметры!$B$6</f>
        <v/>
      </c>
      <c r="I8" s="100">
        <f>Параметры!$B$6</f>
        <v/>
      </c>
      <c r="J8" s="100">
        <f>Параметры!$B$6</f>
        <v/>
      </c>
      <c r="K8" s="100">
        <f>Параметры!$B$6</f>
        <v/>
      </c>
      <c r="L8" s="100">
        <f>Параметры!$B$6</f>
        <v/>
      </c>
      <c r="M8" s="100">
        <f>Параметры!$B$6</f>
        <v/>
      </c>
      <c r="N8" s="100">
        <f>Параметры!$B$6</f>
        <v/>
      </c>
      <c r="O8" s="100">
        <f>Параметры!$B$6</f>
        <v/>
      </c>
      <c r="P8" s="100">
        <f>Параметры!$B$6</f>
        <v/>
      </c>
      <c r="Q8" s="100">
        <f>Параметры!$B$6</f>
        <v/>
      </c>
      <c r="R8" s="100">
        <f>Параметры!$B$6</f>
        <v/>
      </c>
      <c r="S8" s="100">
        <f>Параметры!$B$6</f>
        <v/>
      </c>
      <c r="T8" s="100">
        <f>Параметры!$B$6</f>
        <v/>
      </c>
      <c r="U8" s="100">
        <f>Параметры!$B$6</f>
        <v/>
      </c>
      <c r="V8" s="100">
        <f>Параметры!$B$6</f>
        <v/>
      </c>
      <c r="W8" s="100">
        <f>Параметры!$B$6</f>
        <v/>
      </c>
      <c r="X8" s="100">
        <f>Параметры!$B$6</f>
        <v/>
      </c>
      <c r="Y8" s="100">
        <f>Параметры!$B$6</f>
        <v/>
      </c>
      <c r="Z8" s="21" t="n"/>
      <c r="AA8" s="6" t="n"/>
      <c r="AB8" s="6" t="n"/>
    </row>
    <row r="9" ht="15" customHeight="1" s="92">
      <c r="A9" s="26" t="inlineStr">
        <is>
          <t>Продажа товара 3 — B2B (командная экипировка, опт)</t>
        </is>
      </c>
      <c r="B9" s="101">
        <f>IF(B$48&lt;Параметры!$B$19,0,ROUND(Параметры!$B$20*Параметры!$B$8,0))</f>
        <v/>
      </c>
      <c r="C9" s="102">
        <f>IF(C$48&lt;Параметры!$B$19,0,IF(B9=0,ROUND(Параметры!$B$20*Параметры!$B$8,0),ROUND(B9*(1+Параметры!$B$21),0)))</f>
        <v/>
      </c>
      <c r="D9" s="102">
        <f>IF(D$48&lt;Параметры!$B$19,0,IF(C9=0,ROUND(Параметры!$B$20*Параметры!$B$8,0),ROUND(C9*(1+Параметры!$B$21),0)))</f>
        <v/>
      </c>
      <c r="E9" s="102">
        <f>IF(E$48&lt;Параметры!$B$19,0,IF(D9=0,ROUND(Параметры!$B$20*Параметры!$B$8,0),ROUND(D9*(1+Параметры!$B$21),0)))</f>
        <v/>
      </c>
      <c r="F9" s="102">
        <f>IF(F$48&lt;Параметры!$B$19,0,IF(E9=0,ROUND(Параметры!$B$20*Параметры!$B$8,0),ROUND(E9*(1+Параметры!$B$21),0)))</f>
        <v/>
      </c>
      <c r="G9" s="102">
        <f>IF(G$48&lt;Параметры!$B$19,0,IF(F9=0,ROUND(Параметры!$B$20*Параметры!$B$8,0),ROUND(F9*(1+Параметры!$B$21),0)))</f>
        <v/>
      </c>
      <c r="H9" s="102">
        <f>IF(H$48&lt;Параметры!$B$19,0,IF(G9=0,ROUND(Параметры!$B$20*Параметры!$B$8,0),ROUND(G9*(1+Параметры!$B$21),0)))</f>
        <v/>
      </c>
      <c r="I9" s="102">
        <f>IF(I$48&lt;Параметры!$B$19,0,IF(H9=0,ROUND(Параметры!$B$20*Параметры!$B$8,0),ROUND(H9*(1+Параметры!$B$21),0)))</f>
        <v/>
      </c>
      <c r="J9" s="102">
        <f>IF(J$48&lt;Параметры!$B$19,0,IF(I9=0,ROUND(Параметры!$B$20*Параметры!$B$8,0),ROUND(I9*(1+Параметры!$B$21),0)))</f>
        <v/>
      </c>
      <c r="K9" s="102">
        <f>IF(K$48&lt;Параметры!$B$19,0,IF(J9=0,ROUND(Параметры!$B$20*Параметры!$B$8,0),ROUND(J9*(1+Параметры!$B$21),0)))</f>
        <v/>
      </c>
      <c r="L9" s="102">
        <f>IF(L$48&lt;Параметры!$B$19,0,IF(K9=0,ROUND(Параметры!$B$20*Параметры!$B$8,0),ROUND(K9*(1+Параметры!$B$21),0)))</f>
        <v/>
      </c>
      <c r="M9" s="102">
        <f>IF(M$48&lt;Параметры!$B$19,0,IF(L9=0,ROUND(Параметры!$B$20*Параметры!$B$8,0),ROUND(L9*(1+Параметры!$B$21),0)))</f>
        <v/>
      </c>
      <c r="N9" s="102">
        <f>IF(N$48&lt;Параметры!$B$19,0,IF(M9=0,ROUND(Параметры!$B$20*Параметры!$B$8,0),ROUND(M9*(1+Параметры!$B$21),0)))</f>
        <v/>
      </c>
      <c r="O9" s="102">
        <f>IF(O$48&lt;Параметры!$B$19,0,IF(N9=0,ROUND(Параметры!$B$20*Параметры!$B$8,0),ROUND(N9*(1+Параметры!$B$21),0)))</f>
        <v/>
      </c>
      <c r="P9" s="102">
        <f>IF(P$48&lt;Параметры!$B$19,0,IF(O9=0,ROUND(Параметры!$B$20*Параметры!$B$8,0),ROUND(O9*(1+Параметры!$B$21),0)))</f>
        <v/>
      </c>
      <c r="Q9" s="102">
        <f>IF(Q$48&lt;Параметры!$B$19,0,IF(P9=0,ROUND(Параметры!$B$20*Параметры!$B$8,0),ROUND(P9*(1+Параметры!$B$21),0)))</f>
        <v/>
      </c>
      <c r="R9" s="102">
        <f>IF(R$48&lt;Параметры!$B$19,0,IF(Q9=0,ROUND(Параметры!$B$20*Параметры!$B$8,0),ROUND(Q9*(1+Параметры!$B$21),0)))</f>
        <v/>
      </c>
      <c r="S9" s="102">
        <f>IF(S$48&lt;Параметры!$B$19,0,IF(R9=0,ROUND(Параметры!$B$20*Параметры!$B$8,0),ROUND(R9*(1+Параметры!$B$21),0)))</f>
        <v/>
      </c>
      <c r="T9" s="102">
        <f>IF(T$48&lt;Параметры!$B$19,0,IF(S9=0,ROUND(Параметры!$B$20*Параметры!$B$8,0),ROUND(S9*(1+Параметры!$B$21),0)))</f>
        <v/>
      </c>
      <c r="U9" s="102">
        <f>IF(U$48&lt;Параметры!$B$19,0,IF(T9=0,ROUND(Параметры!$B$20*Параметры!$B$8,0),ROUND(T9*(1+Параметры!$B$21),0)))</f>
        <v/>
      </c>
      <c r="V9" s="102">
        <f>IF(V$48&lt;Параметры!$B$19,0,IF(U9=0,ROUND(Параметры!$B$20*Параметры!$B$8,0),ROUND(U9*(1+Параметры!$B$21),0)))</f>
        <v/>
      </c>
      <c r="W9" s="102">
        <f>IF(W$48&lt;Параметры!$B$19,0,IF(V9=0,ROUND(Параметры!$B$20*Параметры!$B$8,0),ROUND(V9*(1+Параметры!$B$21),0)))</f>
        <v/>
      </c>
      <c r="X9" s="102">
        <f>IF(X$48&lt;Параметры!$B$19,0,IF(W9=0,ROUND(Параметры!$B$20*Параметры!$B$8,0),ROUND(W9*(1+Параметры!$B$21),0)))</f>
        <v/>
      </c>
      <c r="Y9" s="103">
        <f>IF(Y$48&lt;Параметры!$B$19,0,IF(X9=0,ROUND(Параметры!$B$20*Параметры!$B$8,0),ROUND(X9*(1+Параметры!$B$21),0)))</f>
        <v/>
      </c>
      <c r="Z9" s="104">
        <f>SUM(B9:Y9)</f>
        <v/>
      </c>
      <c r="AA9" s="6" t="n"/>
      <c r="AB9" s="6" t="n"/>
    </row>
    <row r="10" ht="15" customHeight="1" s="92">
      <c r="A10" s="31" t="inlineStr">
        <is>
          <t>ИНВЕСТИЦИИ</t>
        </is>
      </c>
      <c r="B10" s="105">
        <f>IF(B$48=1,ROUNDUP($B$62*Параметры!$B$63/100000,0)*100000,IF(B$48=Параметры!$B$64,ROUNDUP($B$62*(1-Параметры!$B$63)/100000,0)*100000,0))</f>
        <v/>
      </c>
      <c r="C10" s="106">
        <f>IF(C$48=1,ROUNDUP($B$62*Параметры!$B$63/100000,0)*100000,IF(C$48=Параметры!$B$64,ROUNDUP($B$62*(1-Параметры!$B$63)/100000,0)*100000,0))</f>
        <v/>
      </c>
      <c r="D10" s="106">
        <f>IF(D$48=1,ROUNDUP($B$62*Параметры!$B$63/100000,0)*100000,IF(D$48=Параметры!$B$64,ROUNDUP($B$62*(1-Параметры!$B$63)/100000,0)*100000,0))</f>
        <v/>
      </c>
      <c r="E10" s="106">
        <f>IF(E$48=1,ROUNDUP($B$62*Параметры!$B$63/100000,0)*100000,IF(E$48=Параметры!$B$64,ROUNDUP($B$62*(1-Параметры!$B$63)/100000,0)*100000,0))</f>
        <v/>
      </c>
      <c r="F10" s="106">
        <f>IF(F$48=1,ROUNDUP($B$62*Параметры!$B$63/100000,0)*100000,IF(F$48=Параметры!$B$64,ROUNDUP($B$62*(1-Параметры!$B$63)/100000,0)*100000,0))</f>
        <v/>
      </c>
      <c r="G10" s="106">
        <f>IF(G$48=1,ROUNDUP($B$62*Параметры!$B$63/100000,0)*100000,IF(G$48=Параметры!$B$64,ROUNDUP($B$62*(1-Параметры!$B$63)/100000,0)*100000,0))</f>
        <v/>
      </c>
      <c r="H10" s="106">
        <f>IF(H$48=1,ROUNDUP($B$62*Параметры!$B$63/100000,0)*100000,IF(H$48=Параметры!$B$64,ROUNDUP($B$62*(1-Параметры!$B$63)/100000,0)*100000,0))</f>
        <v/>
      </c>
      <c r="I10" s="106">
        <f>IF(I$48=1,ROUNDUP($B$62*Параметры!$B$63/100000,0)*100000,IF(I$48=Параметры!$B$64,ROUNDUP($B$62*(1-Параметры!$B$63)/100000,0)*100000,0))</f>
        <v/>
      </c>
      <c r="J10" s="106">
        <f>IF(J$48=1,ROUNDUP($B$62*Параметры!$B$63/100000,0)*100000,IF(J$48=Параметры!$B$64,ROUNDUP($B$62*(1-Параметры!$B$63)/100000,0)*100000,0))</f>
        <v/>
      </c>
      <c r="K10" s="106">
        <f>IF(K$48=1,ROUNDUP($B$62*Параметры!$B$63/100000,0)*100000,IF(K$48=Параметры!$B$64,ROUNDUP($B$62*(1-Параметры!$B$63)/100000,0)*100000,0))</f>
        <v/>
      </c>
      <c r="L10" s="106">
        <f>IF(L$48=1,ROUNDUP($B$62*Параметры!$B$63/100000,0)*100000,IF(L$48=Параметры!$B$64,ROUNDUP($B$62*(1-Параметры!$B$63)/100000,0)*100000,0))</f>
        <v/>
      </c>
      <c r="M10" s="106">
        <f>IF(M$48=1,ROUNDUP($B$62*Параметры!$B$63/100000,0)*100000,IF(M$48=Параметры!$B$64,ROUNDUP($B$62*(1-Параметры!$B$63)/100000,0)*100000,0))</f>
        <v/>
      </c>
      <c r="N10" s="106">
        <f>IF(N$48=1,ROUNDUP($B$62*Параметры!$B$63/100000,0)*100000,IF(N$48=Параметры!$B$64,ROUNDUP($B$62*(1-Параметры!$B$63)/100000,0)*100000,0))</f>
        <v/>
      </c>
      <c r="O10" s="106">
        <f>IF(O$48=1,ROUNDUP($B$62*Параметры!$B$63/100000,0)*100000,IF(O$48=Параметры!$B$64,ROUNDUP($B$62*(1-Параметры!$B$63)/100000,0)*100000,0))</f>
        <v/>
      </c>
      <c r="P10" s="106">
        <f>IF(P$48=1,ROUNDUP($B$62*Параметры!$B$63/100000,0)*100000,IF(P$48=Параметры!$B$64,ROUNDUP($B$62*(1-Параметры!$B$63)/100000,0)*100000,0))</f>
        <v/>
      </c>
      <c r="Q10" s="106">
        <f>IF(Q$48=1,ROUNDUP($B$62*Параметры!$B$63/100000,0)*100000,IF(Q$48=Параметры!$B$64,ROUNDUP($B$62*(1-Параметры!$B$63)/100000,0)*100000,0))</f>
        <v/>
      </c>
      <c r="R10" s="106">
        <f>IF(R$48=1,ROUNDUP($B$62*Параметры!$B$63/100000,0)*100000,IF(R$48=Параметры!$B$64,ROUNDUP($B$62*(1-Параметры!$B$63)/100000,0)*100000,0))</f>
        <v/>
      </c>
      <c r="S10" s="106">
        <f>IF(S$48=1,ROUNDUP($B$62*Параметры!$B$63/100000,0)*100000,IF(S$48=Параметры!$B$64,ROUNDUP($B$62*(1-Параметры!$B$63)/100000,0)*100000,0))</f>
        <v/>
      </c>
      <c r="T10" s="106">
        <f>IF(T$48=1,ROUNDUP($B$62*Параметры!$B$63/100000,0)*100000,IF(T$48=Параметры!$B$64,ROUNDUP($B$62*(1-Параметры!$B$63)/100000,0)*100000,0))</f>
        <v/>
      </c>
      <c r="U10" s="106">
        <f>IF(U$48=1,ROUNDUP($B$62*Параметры!$B$63/100000,0)*100000,IF(U$48=Параметры!$B$64,ROUNDUP($B$62*(1-Параметры!$B$63)/100000,0)*100000,0))</f>
        <v/>
      </c>
      <c r="V10" s="106">
        <f>IF(V$48=1,ROUNDUP($B$62*Параметры!$B$63/100000,0)*100000,IF(V$48=Параметры!$B$64,ROUNDUP($B$62*(1-Параметры!$B$63)/100000,0)*100000,0))</f>
        <v/>
      </c>
      <c r="W10" s="106">
        <f>IF(W$48=1,ROUNDUP($B$62*Параметры!$B$63/100000,0)*100000,IF(W$48=Параметры!$B$64,ROUNDUP($B$62*(1-Параметры!$B$63)/100000,0)*100000,0))</f>
        <v/>
      </c>
      <c r="X10" s="106">
        <f>IF(X$48=1,ROUNDUP($B$62*Параметры!$B$63/100000,0)*100000,IF(X$48=Параметры!$B$64,ROUNDUP($B$62*(1-Параметры!$B$63)/100000,0)*100000,0))</f>
        <v/>
      </c>
      <c r="Y10" s="107">
        <f>IF(Y$48=1,ROUNDUP($B$62*Параметры!$B$63/100000,0)*100000,IF(Y$48=Параметры!$B$64,ROUNDUP($B$62*(1-Параметры!$B$63)/100000,0)*100000,0))</f>
        <v/>
      </c>
      <c r="Z10" s="108">
        <f>SUM(B10:Y10)</f>
        <v/>
      </c>
      <c r="AA10" s="6" t="n"/>
      <c r="AB10" s="6" t="n"/>
    </row>
    <row r="11" ht="15" customHeight="1" s="92">
      <c r="A11" s="36" t="inlineStr">
        <is>
          <t>ПРИХОД ИТОГО</t>
        </is>
      </c>
      <c r="B11" s="37">
        <f>B10+B9+B6+B3</f>
        <v/>
      </c>
      <c r="C11" s="37">
        <f>C10+C9+C6+C3</f>
        <v/>
      </c>
      <c r="D11" s="37">
        <f>D10+D9+D6+D3</f>
        <v/>
      </c>
      <c r="E11" s="37">
        <f>E10+E9+E6+E3</f>
        <v/>
      </c>
      <c r="F11" s="37">
        <f>F10+F9+F6+F3</f>
        <v/>
      </c>
      <c r="G11" s="37">
        <f>G10+G9+G6+G3</f>
        <v/>
      </c>
      <c r="H11" s="37">
        <f>H10+H9+H6+H3</f>
        <v/>
      </c>
      <c r="I11" s="37">
        <f>I10+I9+I6+I3</f>
        <v/>
      </c>
      <c r="J11" s="37">
        <f>J10+J9+J6+J3</f>
        <v/>
      </c>
      <c r="K11" s="37">
        <f>K10+K9+K6+K3</f>
        <v/>
      </c>
      <c r="L11" s="37">
        <f>L10+L9+L6+L3</f>
        <v/>
      </c>
      <c r="M11" s="37">
        <f>M10+M9+M6+M3</f>
        <v/>
      </c>
      <c r="N11" s="37">
        <f>N10+N9+N6+N3</f>
        <v/>
      </c>
      <c r="O11" s="37">
        <f>O10+O9+O6+O3</f>
        <v/>
      </c>
      <c r="P11" s="37">
        <f>P10+P9+P6+P3</f>
        <v/>
      </c>
      <c r="Q11" s="37">
        <f>Q10+Q9+Q6+Q3</f>
        <v/>
      </c>
      <c r="R11" s="37">
        <f>R10+R9+R6+R3</f>
        <v/>
      </c>
      <c r="S11" s="37">
        <f>S10+S9+S6+S3</f>
        <v/>
      </c>
      <c r="T11" s="37">
        <f>T10+T9+T6+T3</f>
        <v/>
      </c>
      <c r="U11" s="37">
        <f>U10+U9+U6+U3</f>
        <v/>
      </c>
      <c r="V11" s="37">
        <f>V10+V9+V6+V3</f>
        <v/>
      </c>
      <c r="W11" s="37">
        <f>W10+W9+W6+W3</f>
        <v/>
      </c>
      <c r="X11" s="37">
        <f>X10+X9+X6+X3</f>
        <v/>
      </c>
      <c r="Y11" s="37">
        <f>Y10+Y9+Y6+Y3</f>
        <v/>
      </c>
      <c r="Z11" s="38">
        <f>SUM(B11:Y11)</f>
        <v/>
      </c>
      <c r="AA11" s="6" t="n"/>
      <c r="AB11" s="6" t="n"/>
    </row>
    <row r="12" ht="15" customHeight="1" s="92">
      <c r="A12" s="7" t="inlineStr">
        <is>
          <t>РАСХОД</t>
        </is>
      </c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40">
        <f>Z17+Z22+Z26+Z34+Z38+Z42+Z43</f>
        <v/>
      </c>
      <c r="AA12" s="6" t="n"/>
      <c r="AB12" s="6" t="n"/>
    </row>
    <row r="13" ht="15" customHeight="1" s="92">
      <c r="A13" s="41" t="inlineStr">
        <is>
          <t>Разработка сайта и IT (ЗП разработчика, штат)</t>
        </is>
      </c>
      <c r="B13" s="109">
        <f>ROUND(Параметры!$B$32*IF(B$48&lt;=12,1,1+Параметры!$B$34),0)</f>
        <v/>
      </c>
      <c r="C13" s="109">
        <f>ROUND(Параметры!$B$32*IF(C$48&lt;=12,1,1+Параметры!$B$34),0)</f>
        <v/>
      </c>
      <c r="D13" s="109">
        <f>ROUND(Параметры!$B$32*IF(D$48&lt;=12,1,1+Параметры!$B$34),0)</f>
        <v/>
      </c>
      <c r="E13" s="109">
        <f>ROUND(Параметры!$B$32*IF(E$48&lt;=12,1,1+Параметры!$B$34),0)</f>
        <v/>
      </c>
      <c r="F13" s="109">
        <f>ROUND(Параметры!$B$32*IF(F$48&lt;=12,1,1+Параметры!$B$34),0)</f>
        <v/>
      </c>
      <c r="G13" s="109">
        <f>ROUND(Параметры!$B$32*IF(G$48&lt;=12,1,1+Параметры!$B$34),0)</f>
        <v/>
      </c>
      <c r="H13" s="109">
        <f>ROUND(Параметры!$B$32*IF(H$48&lt;=12,1,1+Параметры!$B$34),0)</f>
        <v/>
      </c>
      <c r="I13" s="109">
        <f>ROUND(Параметры!$B$32*IF(I$48&lt;=12,1,1+Параметры!$B$34),0)</f>
        <v/>
      </c>
      <c r="J13" s="109">
        <f>ROUND(Параметры!$B$32*IF(J$48&lt;=12,1,1+Параметры!$B$34),0)</f>
        <v/>
      </c>
      <c r="K13" s="109">
        <f>ROUND(Параметры!$B$32*IF(K$48&lt;=12,1,1+Параметры!$B$34),0)</f>
        <v/>
      </c>
      <c r="L13" s="109">
        <f>ROUND(Параметры!$B$32*IF(L$48&lt;=12,1,1+Параметры!$B$34),0)</f>
        <v/>
      </c>
      <c r="M13" s="109">
        <f>ROUND(Параметры!$B$32*IF(M$48&lt;=12,1,1+Параметры!$B$34),0)</f>
        <v/>
      </c>
      <c r="N13" s="109">
        <f>ROUND(Параметры!$B$32*IF(N$48&lt;=12,1,1+Параметры!$B$34),0)</f>
        <v/>
      </c>
      <c r="O13" s="109">
        <f>ROUND(Параметры!$B$32*IF(O$48&lt;=12,1,1+Параметры!$B$34),0)</f>
        <v/>
      </c>
      <c r="P13" s="109">
        <f>ROUND(Параметры!$B$32*IF(P$48&lt;=12,1,1+Параметры!$B$34),0)</f>
        <v/>
      </c>
      <c r="Q13" s="109">
        <f>ROUND(Параметры!$B$32*IF(Q$48&lt;=12,1,1+Параметры!$B$34),0)</f>
        <v/>
      </c>
      <c r="R13" s="109">
        <f>ROUND(Параметры!$B$32*IF(R$48&lt;=12,1,1+Параметры!$B$34),0)</f>
        <v/>
      </c>
      <c r="S13" s="109">
        <f>ROUND(Параметры!$B$32*IF(S$48&lt;=12,1,1+Параметры!$B$34),0)</f>
        <v/>
      </c>
      <c r="T13" s="109">
        <f>ROUND(Параметры!$B$32*IF(T$48&lt;=12,1,1+Параметры!$B$34),0)</f>
        <v/>
      </c>
      <c r="U13" s="109">
        <f>ROUND(Параметры!$B$32*IF(U$48&lt;=12,1,1+Параметры!$B$34),0)</f>
        <v/>
      </c>
      <c r="V13" s="109">
        <f>ROUND(Параметры!$B$32*IF(V$48&lt;=12,1,1+Параметры!$B$34),0)</f>
        <v/>
      </c>
      <c r="W13" s="109">
        <f>ROUND(Параметры!$B$32*IF(W$48&lt;=12,1,1+Параметры!$B$34),0)</f>
        <v/>
      </c>
      <c r="X13" s="109">
        <f>ROUND(Параметры!$B$32*IF(X$48&lt;=12,1,1+Параметры!$B$34),0)</f>
        <v/>
      </c>
      <c r="Y13" s="109">
        <f>ROUND(Параметры!$B$32*IF(Y$48&lt;=12,1,1+Параметры!$B$34),0)</f>
        <v/>
      </c>
      <c r="Z13" s="110">
        <f>SUM(B13:Y13)</f>
        <v/>
      </c>
      <c r="AA13" s="6" t="n"/>
      <c r="AB13" s="6" t="n"/>
    </row>
    <row r="14" ht="15" customHeight="1" s="92">
      <c r="A14" s="41" t="inlineStr">
        <is>
          <t>Техподдержка и дизайн принтов (ЗП дизайнера, штат)</t>
        </is>
      </c>
      <c r="B14" s="109">
        <f>ROUND(Параметры!$B$33*IF(B$48&lt;=12,1,1+Параметры!$B$34),0)</f>
        <v/>
      </c>
      <c r="C14" s="109">
        <f>ROUND(Параметры!$B$33*IF(C$48&lt;=12,1,1+Параметры!$B$34),0)</f>
        <v/>
      </c>
      <c r="D14" s="109">
        <f>ROUND(Параметры!$B$33*IF(D$48&lt;=12,1,1+Параметры!$B$34),0)</f>
        <v/>
      </c>
      <c r="E14" s="109">
        <f>ROUND(Параметры!$B$33*IF(E$48&lt;=12,1,1+Параметры!$B$34),0)</f>
        <v/>
      </c>
      <c r="F14" s="109">
        <f>ROUND(Параметры!$B$33*IF(F$48&lt;=12,1,1+Параметры!$B$34),0)</f>
        <v/>
      </c>
      <c r="G14" s="109">
        <f>ROUND(Параметры!$B$33*IF(G$48&lt;=12,1,1+Параметры!$B$34),0)</f>
        <v/>
      </c>
      <c r="H14" s="109">
        <f>ROUND(Параметры!$B$33*IF(H$48&lt;=12,1,1+Параметры!$B$34),0)</f>
        <v/>
      </c>
      <c r="I14" s="109">
        <f>ROUND(Параметры!$B$33*IF(I$48&lt;=12,1,1+Параметры!$B$34),0)</f>
        <v/>
      </c>
      <c r="J14" s="109">
        <f>ROUND(Параметры!$B$33*IF(J$48&lt;=12,1,1+Параметры!$B$34),0)</f>
        <v/>
      </c>
      <c r="K14" s="109">
        <f>ROUND(Параметры!$B$33*IF(K$48&lt;=12,1,1+Параметры!$B$34),0)</f>
        <v/>
      </c>
      <c r="L14" s="109">
        <f>ROUND(Параметры!$B$33*IF(L$48&lt;=12,1,1+Параметры!$B$34),0)</f>
        <v/>
      </c>
      <c r="M14" s="109">
        <f>ROUND(Параметры!$B$33*IF(M$48&lt;=12,1,1+Параметры!$B$34),0)</f>
        <v/>
      </c>
      <c r="N14" s="109">
        <f>ROUND(Параметры!$B$33*IF(N$48&lt;=12,1,1+Параметры!$B$34),0)</f>
        <v/>
      </c>
      <c r="O14" s="109">
        <f>ROUND(Параметры!$B$33*IF(O$48&lt;=12,1,1+Параметры!$B$34),0)</f>
        <v/>
      </c>
      <c r="P14" s="109">
        <f>ROUND(Параметры!$B$33*IF(P$48&lt;=12,1,1+Параметры!$B$34),0)</f>
        <v/>
      </c>
      <c r="Q14" s="109">
        <f>ROUND(Параметры!$B$33*IF(Q$48&lt;=12,1,1+Параметры!$B$34),0)</f>
        <v/>
      </c>
      <c r="R14" s="109">
        <f>ROUND(Параметры!$B$33*IF(R$48&lt;=12,1,1+Параметры!$B$34),0)</f>
        <v/>
      </c>
      <c r="S14" s="109">
        <f>ROUND(Параметры!$B$33*IF(S$48&lt;=12,1,1+Параметры!$B$34),0)</f>
        <v/>
      </c>
      <c r="T14" s="109">
        <f>ROUND(Параметры!$B$33*IF(T$48&lt;=12,1,1+Параметры!$B$34),0)</f>
        <v/>
      </c>
      <c r="U14" s="109">
        <f>ROUND(Параметры!$B$33*IF(U$48&lt;=12,1,1+Параметры!$B$34),0)</f>
        <v/>
      </c>
      <c r="V14" s="109">
        <f>ROUND(Параметры!$B$33*IF(V$48&lt;=12,1,1+Параметры!$B$34),0)</f>
        <v/>
      </c>
      <c r="W14" s="109">
        <f>ROUND(Параметры!$B$33*IF(W$48&lt;=12,1,1+Параметры!$B$34),0)</f>
        <v/>
      </c>
      <c r="X14" s="109">
        <f>ROUND(Параметры!$B$33*IF(X$48&lt;=12,1,1+Параметры!$B$34),0)</f>
        <v/>
      </c>
      <c r="Y14" s="109">
        <f>ROUND(Параметры!$B$33*IF(Y$48&lt;=12,1,1+Параметры!$B$34),0)</f>
        <v/>
      </c>
      <c r="Z14" s="110">
        <f>SUM(B14:Y14)</f>
        <v/>
      </c>
      <c r="AA14" s="6" t="n"/>
      <c r="AB14" s="6" t="n"/>
    </row>
    <row r="15" ht="15" customHeight="1" s="92">
      <c r="A15" s="41" t="inlineStr">
        <is>
          <t>Хостинг</t>
        </is>
      </c>
      <c r="B15" s="109">
        <f>Параметры!$B$46</f>
        <v/>
      </c>
      <c r="C15" s="109">
        <f>Параметры!$B$46</f>
        <v/>
      </c>
      <c r="D15" s="109">
        <f>Параметры!$B$46</f>
        <v/>
      </c>
      <c r="E15" s="109">
        <f>Параметры!$B$46</f>
        <v/>
      </c>
      <c r="F15" s="109">
        <f>Параметры!$B$46</f>
        <v/>
      </c>
      <c r="G15" s="109">
        <f>Параметры!$B$46</f>
        <v/>
      </c>
      <c r="H15" s="109">
        <f>Параметры!$B$46</f>
        <v/>
      </c>
      <c r="I15" s="109">
        <f>Параметры!$B$46</f>
        <v/>
      </c>
      <c r="J15" s="109">
        <f>Параметры!$B$46</f>
        <v/>
      </c>
      <c r="K15" s="109">
        <f>Параметры!$B$46</f>
        <v/>
      </c>
      <c r="L15" s="109">
        <f>Параметры!$B$46</f>
        <v/>
      </c>
      <c r="M15" s="109">
        <f>Параметры!$B$46</f>
        <v/>
      </c>
      <c r="N15" s="109">
        <f>Параметры!$B$46</f>
        <v/>
      </c>
      <c r="O15" s="109">
        <f>Параметры!$B$46</f>
        <v/>
      </c>
      <c r="P15" s="109">
        <f>Параметры!$B$46</f>
        <v/>
      </c>
      <c r="Q15" s="109">
        <f>Параметры!$B$46</f>
        <v/>
      </c>
      <c r="R15" s="109">
        <f>Параметры!$B$46</f>
        <v/>
      </c>
      <c r="S15" s="109">
        <f>Параметры!$B$46</f>
        <v/>
      </c>
      <c r="T15" s="109">
        <f>Параметры!$B$46</f>
        <v/>
      </c>
      <c r="U15" s="109">
        <f>Параметры!$B$46</f>
        <v/>
      </c>
      <c r="V15" s="109">
        <f>Параметры!$B$46</f>
        <v/>
      </c>
      <c r="W15" s="109">
        <f>Параметры!$B$46</f>
        <v/>
      </c>
      <c r="X15" s="109">
        <f>Параметры!$B$46</f>
        <v/>
      </c>
      <c r="Y15" s="109">
        <f>Параметры!$B$46</f>
        <v/>
      </c>
      <c r="Z15" s="110">
        <f>SUM(B15:Y15)</f>
        <v/>
      </c>
      <c r="AA15" s="6" t="n"/>
      <c r="AB15" s="6" t="n"/>
    </row>
    <row r="16" ht="15" customHeight="1" s="92">
      <c r="A16" s="41" t="inlineStr">
        <is>
          <t>Аренда сервера</t>
        </is>
      </c>
      <c r="B16" s="109">
        <f>Параметры!$B$47</f>
        <v/>
      </c>
      <c r="C16" s="109">
        <f>Параметры!$B$47</f>
        <v/>
      </c>
      <c r="D16" s="109">
        <f>Параметры!$B$47</f>
        <v/>
      </c>
      <c r="E16" s="109">
        <f>Параметры!$B$47</f>
        <v/>
      </c>
      <c r="F16" s="109">
        <f>Параметры!$B$47</f>
        <v/>
      </c>
      <c r="G16" s="109">
        <f>Параметры!$B$47</f>
        <v/>
      </c>
      <c r="H16" s="109">
        <f>Параметры!$B$47</f>
        <v/>
      </c>
      <c r="I16" s="109">
        <f>Параметры!$B$47</f>
        <v/>
      </c>
      <c r="J16" s="109">
        <f>Параметры!$B$47</f>
        <v/>
      </c>
      <c r="K16" s="109">
        <f>Параметры!$B$47</f>
        <v/>
      </c>
      <c r="L16" s="109">
        <f>Параметры!$B$47</f>
        <v/>
      </c>
      <c r="M16" s="109">
        <f>Параметры!$B$47</f>
        <v/>
      </c>
      <c r="N16" s="109">
        <f>Параметры!$B$47</f>
        <v/>
      </c>
      <c r="O16" s="109">
        <f>Параметры!$B$47</f>
        <v/>
      </c>
      <c r="P16" s="109">
        <f>Параметры!$B$47</f>
        <v/>
      </c>
      <c r="Q16" s="109">
        <f>Параметры!$B$47</f>
        <v/>
      </c>
      <c r="R16" s="109">
        <f>Параметры!$B$47</f>
        <v/>
      </c>
      <c r="S16" s="109">
        <f>Параметры!$B$47</f>
        <v/>
      </c>
      <c r="T16" s="109">
        <f>Параметры!$B$47</f>
        <v/>
      </c>
      <c r="U16" s="109">
        <f>Параметры!$B$47</f>
        <v/>
      </c>
      <c r="V16" s="109">
        <f>Параметры!$B$47</f>
        <v/>
      </c>
      <c r="W16" s="109">
        <f>Параметры!$B$47</f>
        <v/>
      </c>
      <c r="X16" s="109">
        <f>Параметры!$B$47</f>
        <v/>
      </c>
      <c r="Y16" s="109">
        <f>Параметры!$B$47</f>
        <v/>
      </c>
      <c r="Z16" s="110">
        <f>SUM(B16:Y16)</f>
        <v/>
      </c>
      <c r="AA16" s="6" t="n"/>
      <c r="AB16" s="6" t="n"/>
    </row>
    <row r="17" ht="15" customHeight="1" s="92">
      <c r="A17" s="44" t="inlineStr">
        <is>
          <t>ИТОГО расходы на ИТ</t>
        </is>
      </c>
      <c r="B17" s="46">
        <f>SUM(B13:B16)</f>
        <v/>
      </c>
      <c r="C17" s="46">
        <f>SUM(C13:C16)</f>
        <v/>
      </c>
      <c r="D17" s="46">
        <f>SUM(D13:D16)</f>
        <v/>
      </c>
      <c r="E17" s="46">
        <f>SUM(E13:E16)</f>
        <v/>
      </c>
      <c r="F17" s="46">
        <f>SUM(F13:F16)</f>
        <v/>
      </c>
      <c r="G17" s="46">
        <f>SUM(G13:G16)</f>
        <v/>
      </c>
      <c r="H17" s="46">
        <f>SUM(H13:H16)</f>
        <v/>
      </c>
      <c r="I17" s="46">
        <f>SUM(I13:I16)</f>
        <v/>
      </c>
      <c r="J17" s="46">
        <f>SUM(J13:J16)</f>
        <v/>
      </c>
      <c r="K17" s="46">
        <f>SUM(K13:K16)</f>
        <v/>
      </c>
      <c r="L17" s="46">
        <f>SUM(L13:L16)</f>
        <v/>
      </c>
      <c r="M17" s="46">
        <f>SUM(M13:M16)</f>
        <v/>
      </c>
      <c r="N17" s="46">
        <f>SUM(N13:N16)</f>
        <v/>
      </c>
      <c r="O17" s="46">
        <f>SUM(O13:O16)</f>
        <v/>
      </c>
      <c r="P17" s="46">
        <f>SUM(P13:P16)</f>
        <v/>
      </c>
      <c r="Q17" s="46">
        <f>SUM(Q13:Q16)</f>
        <v/>
      </c>
      <c r="R17" s="46">
        <f>SUM(R13:R16)</f>
        <v/>
      </c>
      <c r="S17" s="46">
        <f>SUM(S13:S16)</f>
        <v/>
      </c>
      <c r="T17" s="46">
        <f>SUM(T13:T16)</f>
        <v/>
      </c>
      <c r="U17" s="46">
        <f>SUM(U13:U16)</f>
        <v/>
      </c>
      <c r="V17" s="46">
        <f>SUM(V13:V16)</f>
        <v/>
      </c>
      <c r="W17" s="46">
        <f>SUM(W13:W16)</f>
        <v/>
      </c>
      <c r="X17" s="46">
        <f>SUM(X13:X16)</f>
        <v/>
      </c>
      <c r="Y17" s="46">
        <f>SUM(Y13:Y16)</f>
        <v/>
      </c>
      <c r="Z17" s="43">
        <f>SUM(B17:Y17)</f>
        <v/>
      </c>
      <c r="AA17" s="6" t="n"/>
      <c r="AB17" s="6" t="n"/>
    </row>
    <row r="18" ht="15" customHeight="1" s="92">
      <c r="A18" s="47" t="inlineStr">
        <is>
          <t>Бухобслуживание</t>
        </is>
      </c>
      <c r="B18" s="111">
        <f>Параметры!$B$48</f>
        <v/>
      </c>
      <c r="C18" s="111">
        <f>Параметры!$B$48</f>
        <v/>
      </c>
      <c r="D18" s="111">
        <f>Параметры!$B$48</f>
        <v/>
      </c>
      <c r="E18" s="111">
        <f>Параметры!$B$48</f>
        <v/>
      </c>
      <c r="F18" s="111">
        <f>Параметры!$B$48</f>
        <v/>
      </c>
      <c r="G18" s="111">
        <f>Параметры!$B$48</f>
        <v/>
      </c>
      <c r="H18" s="111">
        <f>Параметры!$B$48</f>
        <v/>
      </c>
      <c r="I18" s="111">
        <f>Параметры!$B$48</f>
        <v/>
      </c>
      <c r="J18" s="111">
        <f>Параметры!$B$48</f>
        <v/>
      </c>
      <c r="K18" s="111">
        <f>Параметры!$B$48</f>
        <v/>
      </c>
      <c r="L18" s="111">
        <f>Параметры!$B$48</f>
        <v/>
      </c>
      <c r="M18" s="111">
        <f>Параметры!$B$48</f>
        <v/>
      </c>
      <c r="N18" s="111">
        <f>Параметры!$B$48</f>
        <v/>
      </c>
      <c r="O18" s="111">
        <f>Параметры!$B$48</f>
        <v/>
      </c>
      <c r="P18" s="111">
        <f>Параметры!$B$48</f>
        <v/>
      </c>
      <c r="Q18" s="111">
        <f>Параметры!$B$48</f>
        <v/>
      </c>
      <c r="R18" s="111">
        <f>Параметры!$B$48</f>
        <v/>
      </c>
      <c r="S18" s="111">
        <f>Параметры!$B$48</f>
        <v/>
      </c>
      <c r="T18" s="111">
        <f>Параметры!$B$48</f>
        <v/>
      </c>
      <c r="U18" s="111">
        <f>Параметры!$B$48</f>
        <v/>
      </c>
      <c r="V18" s="111">
        <f>Параметры!$B$48</f>
        <v/>
      </c>
      <c r="W18" s="111">
        <f>Параметры!$B$48</f>
        <v/>
      </c>
      <c r="X18" s="111">
        <f>Параметры!$B$48</f>
        <v/>
      </c>
      <c r="Y18" s="111">
        <f>Параметры!$B$48</f>
        <v/>
      </c>
      <c r="Z18" s="112">
        <f>SUM(B18:Y18)</f>
        <v/>
      </c>
      <c r="AA18" s="6" t="n"/>
      <c r="AB18" s="6" t="n"/>
    </row>
    <row r="19" ht="15" customHeight="1" s="92">
      <c r="A19" s="47" t="inlineStr">
        <is>
          <t>Налоги з/п</t>
        </is>
      </c>
      <c r="B19" s="111">
        <f>ROUND((B34+B13+B14)*Параметры!$B$35,0)</f>
        <v/>
      </c>
      <c r="C19" s="111">
        <f>ROUND((C34+C13+C14)*Параметры!$B$35,0)</f>
        <v/>
      </c>
      <c r="D19" s="111">
        <f>ROUND((D34+D13+D14)*Параметры!$B$35,0)</f>
        <v/>
      </c>
      <c r="E19" s="111">
        <f>ROUND((E34+E13+E14)*Параметры!$B$35,0)</f>
        <v/>
      </c>
      <c r="F19" s="111">
        <f>ROUND((F34+F13+F14)*Параметры!$B$35,0)</f>
        <v/>
      </c>
      <c r="G19" s="111">
        <f>ROUND((G34+G13+G14)*Параметры!$B$35,0)</f>
        <v/>
      </c>
      <c r="H19" s="111">
        <f>ROUND((H34+H13+H14)*Параметры!$B$35,0)</f>
        <v/>
      </c>
      <c r="I19" s="111">
        <f>ROUND((I34+I13+I14)*Параметры!$B$35,0)</f>
        <v/>
      </c>
      <c r="J19" s="111">
        <f>ROUND((J34+J13+J14)*Параметры!$B$35,0)</f>
        <v/>
      </c>
      <c r="K19" s="111">
        <f>ROUND((K34+K13+K14)*Параметры!$B$35,0)</f>
        <v/>
      </c>
      <c r="L19" s="111">
        <f>ROUND((L34+L13+L14)*Параметры!$B$35,0)</f>
        <v/>
      </c>
      <c r="M19" s="111">
        <f>ROUND((M34+M13+M14)*Параметры!$B$35,0)</f>
        <v/>
      </c>
      <c r="N19" s="111">
        <f>ROUND((N34+N13+N14)*Параметры!$B$35,0)</f>
        <v/>
      </c>
      <c r="O19" s="111">
        <f>ROUND((O34+O13+O14)*Параметры!$B$35,0)</f>
        <v/>
      </c>
      <c r="P19" s="111">
        <f>ROUND((P34+P13+P14)*Параметры!$B$35,0)</f>
        <v/>
      </c>
      <c r="Q19" s="111">
        <f>ROUND((Q34+Q13+Q14)*Параметры!$B$35,0)</f>
        <v/>
      </c>
      <c r="R19" s="111">
        <f>ROUND((R34+R13+R14)*Параметры!$B$35,0)</f>
        <v/>
      </c>
      <c r="S19" s="111">
        <f>ROUND((S34+S13+S14)*Параметры!$B$35,0)</f>
        <v/>
      </c>
      <c r="T19" s="111">
        <f>ROUND((T34+T13+T14)*Параметры!$B$35,0)</f>
        <v/>
      </c>
      <c r="U19" s="111">
        <f>ROUND((U34+U13+U14)*Параметры!$B$35,0)</f>
        <v/>
      </c>
      <c r="V19" s="111">
        <f>ROUND((V34+V13+V14)*Параметры!$B$35,0)</f>
        <v/>
      </c>
      <c r="W19" s="111">
        <f>ROUND((W34+W13+W14)*Параметры!$B$35,0)</f>
        <v/>
      </c>
      <c r="X19" s="111">
        <f>ROUND((X34+X13+X14)*Параметры!$B$35,0)</f>
        <v/>
      </c>
      <c r="Y19" s="111">
        <f>ROUND((Y34+Y13+Y14)*Параметры!$B$35,0)</f>
        <v/>
      </c>
      <c r="Z19" s="112">
        <f>SUM(B19:Y19)</f>
        <v/>
      </c>
      <c r="AA19" s="6" t="n"/>
      <c r="AB19" s="6" t="n"/>
    </row>
    <row r="20" ht="15" customHeight="1" s="92">
      <c r="A20" s="47" t="inlineStr">
        <is>
          <t>Налоги прочее</t>
        </is>
      </c>
      <c r="B20" s="111">
        <f>ROUND(MAX(Параметры!$B$58*((B3+B6+B9)-(B17+B18+B19+B21+B26+B34+B38+B42)),Параметры!$B$59*(B3+B6+B9)),0)</f>
        <v/>
      </c>
      <c r="C20" s="111">
        <f>ROUND(MAX(Параметры!$B$58*((C3+C6+C9)-(C17+C18+C19+C21+C26+C34+C38+C42)),Параметры!$B$59*(C3+C6+C9)),0)</f>
        <v/>
      </c>
      <c r="D20" s="111">
        <f>ROUND(MAX(Параметры!$B$58*((D3+D6+D9)-(D17+D18+D19+D21+D26+D34+D38+D42)),Параметры!$B$59*(D3+D6+D9)),0)</f>
        <v/>
      </c>
      <c r="E20" s="111">
        <f>ROUND(MAX(Параметры!$B$58*((E3+E6+E9)-(E17+E18+E19+E21+E26+E34+E38+E42)),Параметры!$B$59*(E3+E6+E9)),0)</f>
        <v/>
      </c>
      <c r="F20" s="111">
        <f>ROUND(MAX(Параметры!$B$58*((F3+F6+F9)-(F17+F18+F19+F21+F26+F34+F38+F42)),Параметры!$B$59*(F3+F6+F9)),0)</f>
        <v/>
      </c>
      <c r="G20" s="111">
        <f>ROUND(MAX(Параметры!$B$58*((G3+G6+G9)-(G17+G18+G19+G21+G26+G34+G38+G42)),Параметры!$B$59*(G3+G6+G9)),0)</f>
        <v/>
      </c>
      <c r="H20" s="111">
        <f>ROUND(MAX(Параметры!$B$58*((H3+H6+H9)-(H17+H18+H19+H21+H26+H34+H38+H42)),Параметры!$B$59*(H3+H6+H9)),0)</f>
        <v/>
      </c>
      <c r="I20" s="111">
        <f>ROUND(MAX(Параметры!$B$58*((I3+I6+I9)-(I17+I18+I19+I21+I26+I34+I38+I42)),Параметры!$B$59*(I3+I6+I9)),0)</f>
        <v/>
      </c>
      <c r="J20" s="111">
        <f>ROUND(MAX(Параметры!$B$58*((J3+J6+J9)-(J17+J18+J19+J21+J26+J34+J38+J42)),Параметры!$B$59*(J3+J6+J9)),0)</f>
        <v/>
      </c>
      <c r="K20" s="111">
        <f>ROUND(MAX(Параметры!$B$58*((K3+K6+K9)-(K17+K18+K19+K21+K26+K34+K38+K42)),Параметры!$B$59*(K3+K6+K9)),0)</f>
        <v/>
      </c>
      <c r="L20" s="111">
        <f>ROUND(MAX(Параметры!$B$58*((L3+L6+L9)-(L17+L18+L19+L21+L26+L34+L38+L42)),Параметры!$B$59*(L3+L6+L9)),0)</f>
        <v/>
      </c>
      <c r="M20" s="111">
        <f>ROUND(MAX(Параметры!$B$58*((M3+M6+M9)-(M17+M18+M19+M21+M26+M34+M38+M42)),Параметры!$B$59*(M3+M6+M9)),0)</f>
        <v/>
      </c>
      <c r="N20" s="111">
        <f>ROUND(MAX(Параметры!$B$58*((N3+N6+N9)-(N17+N18+N19+N21+N26+N34+N38+N42)),Параметры!$B$59*(N3+N6+N9)),0)</f>
        <v/>
      </c>
      <c r="O20" s="111">
        <f>ROUND(MAX(Параметры!$B$58*((O3+O6+O9)-(O17+O18+O19+O21+O26+O34+O38+O42)),Параметры!$B$59*(O3+O6+O9)),0)</f>
        <v/>
      </c>
      <c r="P20" s="111">
        <f>ROUND(MAX(Параметры!$B$58*((P3+P6+P9)-(P17+P18+P19+P21+P26+P34+P38+P42)),Параметры!$B$59*(P3+P6+P9)),0)</f>
        <v/>
      </c>
      <c r="Q20" s="111">
        <f>ROUND(MAX(Параметры!$B$58*((Q3+Q6+Q9)-(Q17+Q18+Q19+Q21+Q26+Q34+Q38+Q42)),Параметры!$B$59*(Q3+Q6+Q9)),0)</f>
        <v/>
      </c>
      <c r="R20" s="111">
        <f>ROUND(MAX(Параметры!$B$58*((R3+R6+R9)-(R17+R18+R19+R21+R26+R34+R38+R42)),Параметры!$B$59*(R3+R6+R9)),0)</f>
        <v/>
      </c>
      <c r="S20" s="111">
        <f>ROUND(MAX(Параметры!$B$58*((S3+S6+S9)-(S17+S18+S19+S21+S26+S34+S38+S42)),Параметры!$B$59*(S3+S6+S9)),0)</f>
        <v/>
      </c>
      <c r="T20" s="111">
        <f>ROUND(MAX(Параметры!$B$58*((T3+T6+T9)-(T17+T18+T19+T21+T26+T34+T38+T42)),Параметры!$B$59*(T3+T6+T9)),0)</f>
        <v/>
      </c>
      <c r="U20" s="111">
        <f>ROUND(MAX(Параметры!$B$58*((U3+U6+U9)-(U17+U18+U19+U21+U26+U34+U38+U42)),Параметры!$B$59*(U3+U6+U9)),0)</f>
        <v/>
      </c>
      <c r="V20" s="111">
        <f>ROUND(MAX(Параметры!$B$58*((V3+V6+V9)-(V17+V18+V19+V21+V26+V34+V38+V42)),Параметры!$B$59*(V3+V6+V9)),0)</f>
        <v/>
      </c>
      <c r="W20" s="111">
        <f>ROUND(MAX(Параметры!$B$58*((W3+W6+W9)-(W17+W18+W19+W21+W26+W34+W38+W42)),Параметры!$B$59*(W3+W6+W9)),0)</f>
        <v/>
      </c>
      <c r="X20" s="111">
        <f>ROUND(MAX(Параметры!$B$58*((X3+X6+X9)-(X17+X18+X19+X21+X26+X34+X38+X42)),Параметры!$B$59*(X3+X6+X9)),0)</f>
        <v/>
      </c>
      <c r="Y20" s="111">
        <f>ROUND(MAX(Параметры!$B$58*((Y3+Y6+Y9)-(Y17+Y18+Y19+Y21+Y26+Y34+Y38+Y42)),Параметры!$B$59*(Y3+Y6+Y9)),0)</f>
        <v/>
      </c>
      <c r="Z20" s="112">
        <f>SUM(B20:Y20)</f>
        <v/>
      </c>
      <c r="AA20" s="6" t="n"/>
      <c r="AB20" s="6" t="n"/>
    </row>
    <row r="21" ht="15" customHeight="1" s="92">
      <c r="A21" s="47" t="inlineStr">
        <is>
          <t>Эквайринг и комиссии маркетплейсов</t>
        </is>
      </c>
      <c r="B21" s="111">
        <f>ROUND((B3+B6)*Параметры!$B$49,0)</f>
        <v/>
      </c>
      <c r="C21" s="111">
        <f>ROUND((C3+C6)*Параметры!$B$49,0)</f>
        <v/>
      </c>
      <c r="D21" s="111">
        <f>ROUND((D3+D6)*Параметры!$B$49,0)</f>
        <v/>
      </c>
      <c r="E21" s="111">
        <f>ROUND((E3+E6)*Параметры!$B$49,0)</f>
        <v/>
      </c>
      <c r="F21" s="111">
        <f>ROUND((F3+F6)*Параметры!$B$49,0)</f>
        <v/>
      </c>
      <c r="G21" s="111">
        <f>ROUND((G3+G6)*Параметры!$B$49,0)</f>
        <v/>
      </c>
      <c r="H21" s="111">
        <f>ROUND((H3+H6)*Параметры!$B$49,0)</f>
        <v/>
      </c>
      <c r="I21" s="111">
        <f>ROUND((I3+I6)*Параметры!$B$49,0)</f>
        <v/>
      </c>
      <c r="J21" s="111">
        <f>ROUND((J3+J6)*Параметры!$B$49,0)</f>
        <v/>
      </c>
      <c r="K21" s="111">
        <f>ROUND((K3+K6)*Параметры!$B$49,0)</f>
        <v/>
      </c>
      <c r="L21" s="111">
        <f>ROUND((L3+L6)*Параметры!$B$49,0)</f>
        <v/>
      </c>
      <c r="M21" s="111">
        <f>ROUND((M3+M6)*Параметры!$B$49,0)</f>
        <v/>
      </c>
      <c r="N21" s="111">
        <f>ROUND((N3+N6)*Параметры!$B$49,0)</f>
        <v/>
      </c>
      <c r="O21" s="111">
        <f>ROUND((O3+O6)*Параметры!$B$49,0)</f>
        <v/>
      </c>
      <c r="P21" s="111">
        <f>ROUND((P3+P6)*Параметры!$B$49,0)</f>
        <v/>
      </c>
      <c r="Q21" s="111">
        <f>ROUND((Q3+Q6)*Параметры!$B$49,0)</f>
        <v/>
      </c>
      <c r="R21" s="111">
        <f>ROUND((R3+R6)*Параметры!$B$49,0)</f>
        <v/>
      </c>
      <c r="S21" s="111">
        <f>ROUND((S3+S6)*Параметры!$B$49,0)</f>
        <v/>
      </c>
      <c r="T21" s="111">
        <f>ROUND((T3+T6)*Параметры!$B$49,0)</f>
        <v/>
      </c>
      <c r="U21" s="111">
        <f>ROUND((U3+U6)*Параметры!$B$49,0)</f>
        <v/>
      </c>
      <c r="V21" s="111">
        <f>ROUND((V3+V6)*Параметры!$B$49,0)</f>
        <v/>
      </c>
      <c r="W21" s="111">
        <f>ROUND((W3+W6)*Параметры!$B$49,0)</f>
        <v/>
      </c>
      <c r="X21" s="111">
        <f>ROUND((X3+X6)*Параметры!$B$49,0)</f>
        <v/>
      </c>
      <c r="Y21" s="111">
        <f>ROUND((Y3+Y6)*Параметры!$B$49,0)</f>
        <v/>
      </c>
      <c r="Z21" s="112">
        <f>SUM(B21:Y21)</f>
        <v/>
      </c>
      <c r="AA21" s="6" t="n"/>
      <c r="AB21" s="6" t="n"/>
    </row>
    <row r="22" ht="15" customHeight="1" s="92">
      <c r="A22" s="50" t="inlineStr">
        <is>
          <t>ИТОГО расходы на бухгалтерию</t>
        </is>
      </c>
      <c r="B22" s="51">
        <f>SUM(B18:B21)</f>
        <v/>
      </c>
      <c r="C22" s="51">
        <f>SUM(C18:C21)</f>
        <v/>
      </c>
      <c r="D22" s="51">
        <f>SUM(D18:D21)</f>
        <v/>
      </c>
      <c r="E22" s="51">
        <f>SUM(E18:E21)</f>
        <v/>
      </c>
      <c r="F22" s="51">
        <f>SUM(F18:F21)</f>
        <v/>
      </c>
      <c r="G22" s="51">
        <f>SUM(G18:G21)</f>
        <v/>
      </c>
      <c r="H22" s="51">
        <f>SUM(H18:H21)</f>
        <v/>
      </c>
      <c r="I22" s="51">
        <f>SUM(I18:I21)</f>
        <v/>
      </c>
      <c r="J22" s="51">
        <f>SUM(J18:J21)</f>
        <v/>
      </c>
      <c r="K22" s="51">
        <f>SUM(K18:K21)</f>
        <v/>
      </c>
      <c r="L22" s="51">
        <f>SUM(L18:L21)</f>
        <v/>
      </c>
      <c r="M22" s="51">
        <f>SUM(M18:M21)</f>
        <v/>
      </c>
      <c r="N22" s="51">
        <f>SUM(N18:N21)</f>
        <v/>
      </c>
      <c r="O22" s="51">
        <f>SUM(O18:O21)</f>
        <v/>
      </c>
      <c r="P22" s="51">
        <f>SUM(P18:P21)</f>
        <v/>
      </c>
      <c r="Q22" s="51">
        <f>SUM(Q18:Q21)</f>
        <v/>
      </c>
      <c r="R22" s="51">
        <f>SUM(R18:R21)</f>
        <v/>
      </c>
      <c r="S22" s="51">
        <f>SUM(S18:S21)</f>
        <v/>
      </c>
      <c r="T22" s="51">
        <f>SUM(T18:T21)</f>
        <v/>
      </c>
      <c r="U22" s="51">
        <f>SUM(U18:U21)</f>
        <v/>
      </c>
      <c r="V22" s="51">
        <f>SUM(V18:V21)</f>
        <v/>
      </c>
      <c r="W22" s="51">
        <f>SUM(W18:W21)</f>
        <v/>
      </c>
      <c r="X22" s="51">
        <f>SUM(X18:X21)</f>
        <v/>
      </c>
      <c r="Y22" s="51">
        <f>SUM(Y18:Y21)</f>
        <v/>
      </c>
      <c r="Z22" s="49">
        <f>SUM(B22:Y22)</f>
        <v/>
      </c>
      <c r="AA22" s="6" t="n"/>
      <c r="AB22" s="6" t="n"/>
    </row>
    <row r="23" ht="15" customHeight="1" s="92">
      <c r="A23" s="55" t="inlineStr">
        <is>
          <t>Реклама интернет (performance, таргет, блогеры)</t>
        </is>
      </c>
      <c r="B23" s="113">
        <f>ROUND(MAX(Параметры!$B$39,(B3+B6+B9)*Параметры!$B$38),0)</f>
        <v/>
      </c>
      <c r="C23" s="113">
        <f>ROUND(MAX(Параметры!$B$39,(C3+C6+C9)*Параметры!$B$38),0)</f>
        <v/>
      </c>
      <c r="D23" s="113">
        <f>ROUND(MAX(Параметры!$B$39,(D3+D6+D9)*Параметры!$B$38),0)</f>
        <v/>
      </c>
      <c r="E23" s="113">
        <f>ROUND(MAX(Параметры!$B$39,(E3+E6+E9)*Параметры!$B$38),0)</f>
        <v/>
      </c>
      <c r="F23" s="113">
        <f>ROUND(MAX(Параметры!$B$39,(F3+F6+F9)*Параметры!$B$38),0)</f>
        <v/>
      </c>
      <c r="G23" s="113">
        <f>ROUND(MAX(Параметры!$B$39,(G3+G6+G9)*Параметры!$B$38),0)</f>
        <v/>
      </c>
      <c r="H23" s="113">
        <f>ROUND(MAX(Параметры!$B$39,(H3+H6+H9)*Параметры!$B$38),0)</f>
        <v/>
      </c>
      <c r="I23" s="113">
        <f>ROUND(MAX(Параметры!$B$39,(I3+I6+I9)*Параметры!$B$38),0)</f>
        <v/>
      </c>
      <c r="J23" s="113">
        <f>ROUND(MAX(Параметры!$B$39,(J3+J6+J9)*Параметры!$B$38),0)</f>
        <v/>
      </c>
      <c r="K23" s="113">
        <f>ROUND(MAX(Параметры!$B$39,(K3+K6+K9)*Параметры!$B$38),0)</f>
        <v/>
      </c>
      <c r="L23" s="113">
        <f>ROUND(MAX(Параметры!$B$39,(L3+L6+L9)*Параметры!$B$38),0)</f>
        <v/>
      </c>
      <c r="M23" s="113">
        <f>ROUND(MAX(Параметры!$B$39,(M3+M6+M9)*Параметры!$B$38),0)</f>
        <v/>
      </c>
      <c r="N23" s="113">
        <f>ROUND(MAX(Параметры!$B$39,(N3+N6+N9)*Параметры!$B$38),0)</f>
        <v/>
      </c>
      <c r="O23" s="113">
        <f>ROUND(MAX(Параметры!$B$39,(O3+O6+O9)*Параметры!$B$38),0)</f>
        <v/>
      </c>
      <c r="P23" s="113">
        <f>ROUND(MAX(Параметры!$B$39,(P3+P6+P9)*Параметры!$B$38),0)</f>
        <v/>
      </c>
      <c r="Q23" s="113">
        <f>ROUND(MAX(Параметры!$B$39,(Q3+Q6+Q9)*Параметры!$B$38),0)</f>
        <v/>
      </c>
      <c r="R23" s="113">
        <f>ROUND(MAX(Параметры!$B$39,(R3+R6+R9)*Параметры!$B$38),0)</f>
        <v/>
      </c>
      <c r="S23" s="113">
        <f>ROUND(MAX(Параметры!$B$39,(S3+S6+S9)*Параметры!$B$38),0)</f>
        <v/>
      </c>
      <c r="T23" s="113">
        <f>ROUND(MAX(Параметры!$B$39,(T3+T6+T9)*Параметры!$B$38),0)</f>
        <v/>
      </c>
      <c r="U23" s="113">
        <f>ROUND(MAX(Параметры!$B$39,(U3+U6+U9)*Параметры!$B$38),0)</f>
        <v/>
      </c>
      <c r="V23" s="113">
        <f>ROUND(MAX(Параметры!$B$39,(V3+V6+V9)*Параметры!$B$38),0)</f>
        <v/>
      </c>
      <c r="W23" s="113">
        <f>ROUND(MAX(Параметры!$B$39,(W3+W6+W9)*Параметры!$B$38),0)</f>
        <v/>
      </c>
      <c r="X23" s="113">
        <f>ROUND(MAX(Параметры!$B$39,(X3+X6+X9)*Параметры!$B$38),0)</f>
        <v/>
      </c>
      <c r="Y23" s="113">
        <f>ROUND(MAX(Параметры!$B$39,(Y3+Y6+Y9)*Параметры!$B$38),0)</f>
        <v/>
      </c>
      <c r="Z23" s="114">
        <f>SUM(B23:Y23)</f>
        <v/>
      </c>
      <c r="AA23" s="6" t="n"/>
      <c r="AB23" s="6" t="n"/>
    </row>
    <row r="24" ht="15" customHeight="1" s="92">
      <c r="A24" s="55" t="inlineStr">
        <is>
          <t>Реклама оффлайн (забеги, спортклубы, амбассадоры)</t>
        </is>
      </c>
      <c r="B24" s="113">
        <f>IF(B$48&lt;Параметры!$B$41,0,Параметры!$B$40)</f>
        <v/>
      </c>
      <c r="C24" s="113">
        <f>IF(C$48&lt;Параметры!$B$41,0,Параметры!$B$40)</f>
        <v/>
      </c>
      <c r="D24" s="113">
        <f>IF(D$48&lt;Параметры!$B$41,0,Параметры!$B$40)</f>
        <v/>
      </c>
      <c r="E24" s="113">
        <f>IF(E$48&lt;Параметры!$B$41,0,Параметры!$B$40)</f>
        <v/>
      </c>
      <c r="F24" s="113">
        <f>IF(F$48&lt;Параметры!$B$41,0,Параметры!$B$40)</f>
        <v/>
      </c>
      <c r="G24" s="113">
        <f>IF(G$48&lt;Параметры!$B$41,0,Параметры!$B$40)</f>
        <v/>
      </c>
      <c r="H24" s="113">
        <f>IF(H$48&lt;Параметры!$B$41,0,Параметры!$B$40)</f>
        <v/>
      </c>
      <c r="I24" s="113">
        <f>IF(I$48&lt;Параметры!$B$41,0,Параметры!$B$40)</f>
        <v/>
      </c>
      <c r="J24" s="113">
        <f>IF(J$48&lt;Параметры!$B$41,0,Параметры!$B$40)</f>
        <v/>
      </c>
      <c r="K24" s="113">
        <f>IF(K$48&lt;Параметры!$B$41,0,Параметры!$B$40)</f>
        <v/>
      </c>
      <c r="L24" s="113">
        <f>IF(L$48&lt;Параметры!$B$41,0,Параметры!$B$40)</f>
        <v/>
      </c>
      <c r="M24" s="113">
        <f>IF(M$48&lt;Параметры!$B$41,0,Параметры!$B$40)</f>
        <v/>
      </c>
      <c r="N24" s="113">
        <f>IF(N$48&lt;Параметры!$B$41,0,Параметры!$B$40)</f>
        <v/>
      </c>
      <c r="O24" s="113">
        <f>IF(O$48&lt;Параметры!$B$41,0,Параметры!$B$40)</f>
        <v/>
      </c>
      <c r="P24" s="113">
        <f>IF(P$48&lt;Параметры!$B$41,0,Параметры!$B$40)</f>
        <v/>
      </c>
      <c r="Q24" s="113">
        <f>IF(Q$48&lt;Параметры!$B$41,0,Параметры!$B$40)</f>
        <v/>
      </c>
      <c r="R24" s="113">
        <f>IF(R$48&lt;Параметры!$B$41,0,Параметры!$B$40)</f>
        <v/>
      </c>
      <c r="S24" s="113">
        <f>IF(S$48&lt;Параметры!$B$41,0,Параметры!$B$40)</f>
        <v/>
      </c>
      <c r="T24" s="113">
        <f>IF(T$48&lt;Параметры!$B$41,0,Параметры!$B$40)</f>
        <v/>
      </c>
      <c r="U24" s="113">
        <f>IF(U$48&lt;Параметры!$B$41,0,Параметры!$B$40)</f>
        <v/>
      </c>
      <c r="V24" s="113">
        <f>IF(V$48&lt;Параметры!$B$41,0,Параметры!$B$40)</f>
        <v/>
      </c>
      <c r="W24" s="113">
        <f>IF(W$48&lt;Параметры!$B$41,0,Параметры!$B$40)</f>
        <v/>
      </c>
      <c r="X24" s="113">
        <f>IF(X$48&lt;Параметры!$B$41,0,Параметры!$B$40)</f>
        <v/>
      </c>
      <c r="Y24" s="113">
        <f>IF(Y$48&lt;Параметры!$B$41,0,Параметры!$B$40)</f>
        <v/>
      </c>
      <c r="Z24" s="114">
        <f>SUM(B24:Y24)</f>
        <v/>
      </c>
      <c r="AA24" s="6" t="n"/>
      <c r="AB24" s="6" t="n"/>
    </row>
    <row r="25" ht="15" customHeight="1" s="92">
      <c r="A25" s="55" t="inlineStr">
        <is>
          <t>SЕО Продвижение</t>
        </is>
      </c>
      <c r="B25" s="113">
        <f>IF(B$48&lt;Параметры!$B$43,0,Параметры!$B$42)</f>
        <v/>
      </c>
      <c r="C25" s="113">
        <f>IF(C$48&lt;Параметры!$B$43,0,Параметры!$B$42)</f>
        <v/>
      </c>
      <c r="D25" s="113">
        <f>IF(D$48&lt;Параметры!$B$43,0,Параметры!$B$42)</f>
        <v/>
      </c>
      <c r="E25" s="113">
        <f>IF(E$48&lt;Параметры!$B$43,0,Параметры!$B$42)</f>
        <v/>
      </c>
      <c r="F25" s="113">
        <f>IF(F$48&lt;Параметры!$B$43,0,Параметры!$B$42)</f>
        <v/>
      </c>
      <c r="G25" s="113">
        <f>IF(G$48&lt;Параметры!$B$43,0,Параметры!$B$42)</f>
        <v/>
      </c>
      <c r="H25" s="113">
        <f>IF(H$48&lt;Параметры!$B$43,0,Параметры!$B$42)</f>
        <v/>
      </c>
      <c r="I25" s="113">
        <f>IF(I$48&lt;Параметры!$B$43,0,Параметры!$B$42)</f>
        <v/>
      </c>
      <c r="J25" s="113">
        <f>IF(J$48&lt;Параметры!$B$43,0,Параметры!$B$42)</f>
        <v/>
      </c>
      <c r="K25" s="113">
        <f>IF(K$48&lt;Параметры!$B$43,0,Параметры!$B$42)</f>
        <v/>
      </c>
      <c r="L25" s="113">
        <f>IF(L$48&lt;Параметры!$B$43,0,Параметры!$B$42)</f>
        <v/>
      </c>
      <c r="M25" s="113">
        <f>IF(M$48&lt;Параметры!$B$43,0,Параметры!$B$42)</f>
        <v/>
      </c>
      <c r="N25" s="113">
        <f>IF(N$48&lt;Параметры!$B$43,0,Параметры!$B$42)</f>
        <v/>
      </c>
      <c r="O25" s="113">
        <f>IF(O$48&lt;Параметры!$B$43,0,Параметры!$B$42)</f>
        <v/>
      </c>
      <c r="P25" s="113">
        <f>IF(P$48&lt;Параметры!$B$43,0,Параметры!$B$42)</f>
        <v/>
      </c>
      <c r="Q25" s="113">
        <f>IF(Q$48&lt;Параметры!$B$43,0,Параметры!$B$42)</f>
        <v/>
      </c>
      <c r="R25" s="113">
        <f>IF(R$48&lt;Параметры!$B$43,0,Параметры!$B$42)</f>
        <v/>
      </c>
      <c r="S25" s="113">
        <f>IF(S$48&lt;Параметры!$B$43,0,Параметры!$B$42)</f>
        <v/>
      </c>
      <c r="T25" s="113">
        <f>IF(T$48&lt;Параметры!$B$43,0,Параметры!$B$42)</f>
        <v/>
      </c>
      <c r="U25" s="113">
        <f>IF(U$48&lt;Параметры!$B$43,0,Параметры!$B$42)</f>
        <v/>
      </c>
      <c r="V25" s="113">
        <f>IF(V$48&lt;Параметры!$B$43,0,Параметры!$B$42)</f>
        <v/>
      </c>
      <c r="W25" s="113">
        <f>IF(W$48&lt;Параметры!$B$43,0,Параметры!$B$42)</f>
        <v/>
      </c>
      <c r="X25" s="113">
        <f>IF(X$48&lt;Параметры!$B$43,0,Параметры!$B$42)</f>
        <v/>
      </c>
      <c r="Y25" s="113">
        <f>IF(Y$48&lt;Параметры!$B$43,0,Параметры!$B$42)</f>
        <v/>
      </c>
      <c r="Z25" s="114">
        <f>SUM(B25:Y25)</f>
        <v/>
      </c>
      <c r="AA25" s="6" t="n"/>
      <c r="AB25" s="6" t="n"/>
    </row>
    <row r="26" ht="15" customHeight="1" s="92">
      <c r="A26" s="56" t="inlineStr">
        <is>
          <t>ИТОГО расходы на рекламу</t>
        </is>
      </c>
      <c r="B26" s="57">
        <f>SUM(B23:B25)</f>
        <v/>
      </c>
      <c r="C26" s="57">
        <f>SUM(C23:C25)</f>
        <v/>
      </c>
      <c r="D26" s="57">
        <f>SUM(D23:D25)</f>
        <v/>
      </c>
      <c r="E26" s="57">
        <f>SUM(E23:E25)</f>
        <v/>
      </c>
      <c r="F26" s="57">
        <f>SUM(F23:F25)</f>
        <v/>
      </c>
      <c r="G26" s="57">
        <f>SUM(G23:G25)</f>
        <v/>
      </c>
      <c r="H26" s="57">
        <f>SUM(H23:H25)</f>
        <v/>
      </c>
      <c r="I26" s="57">
        <f>SUM(I23:I25)</f>
        <v/>
      </c>
      <c r="J26" s="57">
        <f>SUM(J23:J25)</f>
        <v/>
      </c>
      <c r="K26" s="57">
        <f>SUM(K23:K25)</f>
        <v/>
      </c>
      <c r="L26" s="57">
        <f>SUM(L23:L25)</f>
        <v/>
      </c>
      <c r="M26" s="57">
        <f>SUM(M23:M25)</f>
        <v/>
      </c>
      <c r="N26" s="57">
        <f>SUM(N23:N25)</f>
        <v/>
      </c>
      <c r="O26" s="57">
        <f>SUM(O23:O25)</f>
        <v/>
      </c>
      <c r="P26" s="57">
        <f>SUM(P23:P25)</f>
        <v/>
      </c>
      <c r="Q26" s="57">
        <f>SUM(Q23:Q25)</f>
        <v/>
      </c>
      <c r="R26" s="57">
        <f>SUM(R23:R25)</f>
        <v/>
      </c>
      <c r="S26" s="57">
        <f>SUM(S23:S25)</f>
        <v/>
      </c>
      <c r="T26" s="57">
        <f>SUM(T23:T25)</f>
        <v/>
      </c>
      <c r="U26" s="57">
        <f>SUM(U23:U25)</f>
        <v/>
      </c>
      <c r="V26" s="57">
        <f>SUM(V23:V25)</f>
        <v/>
      </c>
      <c r="W26" s="57">
        <f>SUM(W23:W25)</f>
        <v/>
      </c>
      <c r="X26" s="57">
        <f>SUM(X23:X25)</f>
        <v/>
      </c>
      <c r="Y26" s="57">
        <f>SUM(Y23:Y25)</f>
        <v/>
      </c>
      <c r="Z26" s="54">
        <f>SUM(B26:Y26)</f>
        <v/>
      </c>
      <c r="AA26" s="6" t="n"/>
      <c r="AB26" s="6" t="n"/>
    </row>
    <row r="27" ht="15" customHeight="1" s="92">
      <c r="A27" s="61" t="inlineStr">
        <is>
          <t>Зп менеджер по продажам 1 (%)</t>
        </is>
      </c>
      <c r="B27" s="115">
        <f>ROUND((B3+B6+B9)*Параметры!$B$26,0)</f>
        <v/>
      </c>
      <c r="C27" s="115">
        <f>ROUND((C3+C6+C9)*Параметры!$B$26,0)</f>
        <v/>
      </c>
      <c r="D27" s="115">
        <f>ROUND((D3+D6+D9)*Параметры!$B$26,0)</f>
        <v/>
      </c>
      <c r="E27" s="115">
        <f>ROUND((E3+E6+E9)*Параметры!$B$26,0)</f>
        <v/>
      </c>
      <c r="F27" s="115">
        <f>ROUND((F3+F6+F9)*Параметры!$B$26,0)</f>
        <v/>
      </c>
      <c r="G27" s="115">
        <f>ROUND((G3+G6+G9)*Параметры!$B$26,0)</f>
        <v/>
      </c>
      <c r="H27" s="115">
        <f>ROUND((H3+H6+H9)*Параметры!$B$26,0)</f>
        <v/>
      </c>
      <c r="I27" s="115">
        <f>ROUND((I3+I6+I9)*Параметры!$B$26,0)</f>
        <v/>
      </c>
      <c r="J27" s="115">
        <f>ROUND((J3+J6+J9)*Параметры!$B$26,0)</f>
        <v/>
      </c>
      <c r="K27" s="115">
        <f>ROUND((K3+K6+K9)*Параметры!$B$26,0)</f>
        <v/>
      </c>
      <c r="L27" s="115">
        <f>ROUND((L3+L6+L9)*Параметры!$B$26,0)</f>
        <v/>
      </c>
      <c r="M27" s="115">
        <f>ROUND((M3+M6+M9)*Параметры!$B$26,0)</f>
        <v/>
      </c>
      <c r="N27" s="115">
        <f>ROUND((N3+N6+N9)*Параметры!$B$26,0)</f>
        <v/>
      </c>
      <c r="O27" s="115">
        <f>ROUND((O3+O6+O9)*Параметры!$B$26,0)</f>
        <v/>
      </c>
      <c r="P27" s="115">
        <f>ROUND((P3+P6+P9)*Параметры!$B$26,0)</f>
        <v/>
      </c>
      <c r="Q27" s="115">
        <f>ROUND((Q3+Q6+Q9)*Параметры!$B$26,0)</f>
        <v/>
      </c>
      <c r="R27" s="115">
        <f>ROUND((R3+R6+R9)*Параметры!$B$26,0)</f>
        <v/>
      </c>
      <c r="S27" s="115">
        <f>ROUND((S3+S6+S9)*Параметры!$B$26,0)</f>
        <v/>
      </c>
      <c r="T27" s="115">
        <f>ROUND((T3+T6+T9)*Параметры!$B$26,0)</f>
        <v/>
      </c>
      <c r="U27" s="115">
        <f>ROUND((U3+U6+U9)*Параметры!$B$26,0)</f>
        <v/>
      </c>
      <c r="V27" s="115">
        <f>ROUND((V3+V6+V9)*Параметры!$B$26,0)</f>
        <v/>
      </c>
      <c r="W27" s="115">
        <f>ROUND((W3+W6+W9)*Параметры!$B$26,0)</f>
        <v/>
      </c>
      <c r="X27" s="115">
        <f>ROUND((X3+X6+X9)*Параметры!$B$26,0)</f>
        <v/>
      </c>
      <c r="Y27" s="115">
        <f>ROUND((Y3+Y6+Y9)*Параметры!$B$26,0)</f>
        <v/>
      </c>
      <c r="Z27" s="116">
        <f>SUM(B27:Y27)</f>
        <v/>
      </c>
      <c r="AA27" s="6" t="n"/>
      <c r="AB27" s="6" t="n"/>
    </row>
    <row r="28" ht="15" customHeight="1" s="92">
      <c r="A28" s="61" t="inlineStr">
        <is>
          <t>Зп менеджер по продажам 2 (%)</t>
        </is>
      </c>
      <c r="B28" s="115">
        <f>IF(B$48&lt;Параметры!$B$29,0,ROUND((B3+B6+B9)*Параметры!$B$28,0))</f>
        <v/>
      </c>
      <c r="C28" s="115">
        <f>IF(C$48&lt;Параметры!$B$29,0,ROUND((C3+C6+C9)*Параметры!$B$28,0))</f>
        <v/>
      </c>
      <c r="D28" s="115">
        <f>IF(D$48&lt;Параметры!$B$29,0,ROUND((D3+D6+D9)*Параметры!$B$28,0))</f>
        <v/>
      </c>
      <c r="E28" s="115">
        <f>IF(E$48&lt;Параметры!$B$29,0,ROUND((E3+E6+E9)*Параметры!$B$28,0))</f>
        <v/>
      </c>
      <c r="F28" s="115">
        <f>IF(F$48&lt;Параметры!$B$29,0,ROUND((F3+F6+F9)*Параметры!$B$28,0))</f>
        <v/>
      </c>
      <c r="G28" s="115">
        <f>IF(G$48&lt;Параметры!$B$29,0,ROUND((G3+G6+G9)*Параметры!$B$28,0))</f>
        <v/>
      </c>
      <c r="H28" s="115">
        <f>IF(H$48&lt;Параметры!$B$29,0,ROUND((H3+H6+H9)*Параметры!$B$28,0))</f>
        <v/>
      </c>
      <c r="I28" s="115">
        <f>IF(I$48&lt;Параметры!$B$29,0,ROUND((I3+I6+I9)*Параметры!$B$28,0))</f>
        <v/>
      </c>
      <c r="J28" s="115">
        <f>IF(J$48&lt;Параметры!$B$29,0,ROUND((J3+J6+J9)*Параметры!$B$28,0))</f>
        <v/>
      </c>
      <c r="K28" s="115">
        <f>IF(K$48&lt;Параметры!$B$29,0,ROUND((K3+K6+K9)*Параметры!$B$28,0))</f>
        <v/>
      </c>
      <c r="L28" s="115">
        <f>IF(L$48&lt;Параметры!$B$29,0,ROUND((L3+L6+L9)*Параметры!$B$28,0))</f>
        <v/>
      </c>
      <c r="M28" s="115">
        <f>IF(M$48&lt;Параметры!$B$29,0,ROUND((M3+M6+M9)*Параметры!$B$28,0))</f>
        <v/>
      </c>
      <c r="N28" s="115">
        <f>IF(N$48&lt;Параметры!$B$29,0,ROUND((N3+N6+N9)*Параметры!$B$28,0))</f>
        <v/>
      </c>
      <c r="O28" s="115">
        <f>IF(O$48&lt;Параметры!$B$29,0,ROUND((O3+O6+O9)*Параметры!$B$28,0))</f>
        <v/>
      </c>
      <c r="P28" s="115">
        <f>IF(P$48&lt;Параметры!$B$29,0,ROUND((P3+P6+P9)*Параметры!$B$28,0))</f>
        <v/>
      </c>
      <c r="Q28" s="115">
        <f>IF(Q$48&lt;Параметры!$B$29,0,ROUND((Q3+Q6+Q9)*Параметры!$B$28,0))</f>
        <v/>
      </c>
      <c r="R28" s="115">
        <f>IF(R$48&lt;Параметры!$B$29,0,ROUND((R3+R6+R9)*Параметры!$B$28,0))</f>
        <v/>
      </c>
      <c r="S28" s="115">
        <f>IF(S$48&lt;Параметры!$B$29,0,ROUND((S3+S6+S9)*Параметры!$B$28,0))</f>
        <v/>
      </c>
      <c r="T28" s="115">
        <f>IF(T$48&lt;Параметры!$B$29,0,ROUND((T3+T6+T9)*Параметры!$B$28,0))</f>
        <v/>
      </c>
      <c r="U28" s="115">
        <f>IF(U$48&lt;Параметры!$B$29,0,ROUND((U3+U6+U9)*Параметры!$B$28,0))</f>
        <v/>
      </c>
      <c r="V28" s="115">
        <f>IF(V$48&lt;Параметры!$B$29,0,ROUND((V3+V6+V9)*Параметры!$B$28,0))</f>
        <v/>
      </c>
      <c r="W28" s="115">
        <f>IF(W$48&lt;Параметры!$B$29,0,ROUND((W3+W6+W9)*Параметры!$B$28,0))</f>
        <v/>
      </c>
      <c r="X28" s="115">
        <f>IF(X$48&lt;Параметры!$B$29,0,ROUND((X3+X6+X9)*Параметры!$B$28,0))</f>
        <v/>
      </c>
      <c r="Y28" s="115">
        <f>IF(Y$48&lt;Параметры!$B$29,0,ROUND((Y3+Y6+Y9)*Параметры!$B$28,0))</f>
        <v/>
      </c>
      <c r="Z28" s="116">
        <f>SUM(B28:Y28)</f>
        <v/>
      </c>
      <c r="AA28" s="6" t="n"/>
      <c r="AB28" s="6" t="n"/>
    </row>
    <row r="29" ht="15" customHeight="1" s="92">
      <c r="A29" s="61" t="inlineStr">
        <is>
          <t>Зп маркетолог (%)</t>
        </is>
      </c>
      <c r="B29" s="115">
        <f>ROUND((B3+B6+B9)*Параметры!$B$31,0)</f>
        <v/>
      </c>
      <c r="C29" s="115">
        <f>ROUND((C3+C6+C9)*Параметры!$B$31,0)</f>
        <v/>
      </c>
      <c r="D29" s="115">
        <f>ROUND((D3+D6+D9)*Параметры!$B$31,0)</f>
        <v/>
      </c>
      <c r="E29" s="115">
        <f>ROUND((E3+E6+E9)*Параметры!$B$31,0)</f>
        <v/>
      </c>
      <c r="F29" s="115">
        <f>ROUND((F3+F6+F9)*Параметры!$B$31,0)</f>
        <v/>
      </c>
      <c r="G29" s="115">
        <f>ROUND((G3+G6+G9)*Параметры!$B$31,0)</f>
        <v/>
      </c>
      <c r="H29" s="115">
        <f>ROUND((H3+H6+H9)*Параметры!$B$31,0)</f>
        <v/>
      </c>
      <c r="I29" s="115">
        <f>ROUND((I3+I6+I9)*Параметры!$B$31,0)</f>
        <v/>
      </c>
      <c r="J29" s="115">
        <f>ROUND((J3+J6+J9)*Параметры!$B$31,0)</f>
        <v/>
      </c>
      <c r="K29" s="115">
        <f>ROUND((K3+K6+K9)*Параметры!$B$31,0)</f>
        <v/>
      </c>
      <c r="L29" s="115">
        <f>ROUND((L3+L6+L9)*Параметры!$B$31,0)</f>
        <v/>
      </c>
      <c r="M29" s="115">
        <f>ROUND((M3+M6+M9)*Параметры!$B$31,0)</f>
        <v/>
      </c>
      <c r="N29" s="115">
        <f>ROUND((N3+N6+N9)*Параметры!$B$31,0)</f>
        <v/>
      </c>
      <c r="O29" s="115">
        <f>ROUND((O3+O6+O9)*Параметры!$B$31,0)</f>
        <v/>
      </c>
      <c r="P29" s="115">
        <f>ROUND((P3+P6+P9)*Параметры!$B$31,0)</f>
        <v/>
      </c>
      <c r="Q29" s="115">
        <f>ROUND((Q3+Q6+Q9)*Параметры!$B$31,0)</f>
        <v/>
      </c>
      <c r="R29" s="115">
        <f>ROUND((R3+R6+R9)*Параметры!$B$31,0)</f>
        <v/>
      </c>
      <c r="S29" s="115">
        <f>ROUND((S3+S6+S9)*Параметры!$B$31,0)</f>
        <v/>
      </c>
      <c r="T29" s="115">
        <f>ROUND((T3+T6+T9)*Параметры!$B$31,0)</f>
        <v/>
      </c>
      <c r="U29" s="115">
        <f>ROUND((U3+U6+U9)*Параметры!$B$31,0)</f>
        <v/>
      </c>
      <c r="V29" s="115">
        <f>ROUND((V3+V6+V9)*Параметры!$B$31,0)</f>
        <v/>
      </c>
      <c r="W29" s="115">
        <f>ROUND((W3+W6+W9)*Параметры!$B$31,0)</f>
        <v/>
      </c>
      <c r="X29" s="115">
        <f>ROUND((X3+X6+X9)*Параметры!$B$31,0)</f>
        <v/>
      </c>
      <c r="Y29" s="115">
        <f>ROUND((Y3+Y6+Y9)*Параметры!$B$31,0)</f>
        <v/>
      </c>
      <c r="Z29" s="116">
        <f>SUM(B29:Y29)</f>
        <v/>
      </c>
      <c r="AA29" s="6" t="n"/>
      <c r="AB29" s="6" t="n"/>
    </row>
    <row r="30" ht="15" customHeight="1" s="92">
      <c r="A30" s="61" t="inlineStr">
        <is>
          <t>Зп менеджер по продажам 1 (оклад)</t>
        </is>
      </c>
      <c r="B30" s="115">
        <f>ROUND(Параметры!$B$25*IF(B$48&lt;=12,1,1+Параметры!$B$34),0)</f>
        <v/>
      </c>
      <c r="C30" s="115">
        <f>ROUND(Параметры!$B$25*IF(C$48&lt;=12,1,1+Параметры!$B$34),0)</f>
        <v/>
      </c>
      <c r="D30" s="115">
        <f>ROUND(Параметры!$B$25*IF(D$48&lt;=12,1,1+Параметры!$B$34),0)</f>
        <v/>
      </c>
      <c r="E30" s="115">
        <f>ROUND(Параметры!$B$25*IF(E$48&lt;=12,1,1+Параметры!$B$34),0)</f>
        <v/>
      </c>
      <c r="F30" s="115">
        <f>ROUND(Параметры!$B$25*IF(F$48&lt;=12,1,1+Параметры!$B$34),0)</f>
        <v/>
      </c>
      <c r="G30" s="115">
        <f>ROUND(Параметры!$B$25*IF(G$48&lt;=12,1,1+Параметры!$B$34),0)</f>
        <v/>
      </c>
      <c r="H30" s="115">
        <f>ROUND(Параметры!$B$25*IF(H$48&lt;=12,1,1+Параметры!$B$34),0)</f>
        <v/>
      </c>
      <c r="I30" s="115">
        <f>ROUND(Параметры!$B$25*IF(I$48&lt;=12,1,1+Параметры!$B$34),0)</f>
        <v/>
      </c>
      <c r="J30" s="115">
        <f>ROUND(Параметры!$B$25*IF(J$48&lt;=12,1,1+Параметры!$B$34),0)</f>
        <v/>
      </c>
      <c r="K30" s="115">
        <f>ROUND(Параметры!$B$25*IF(K$48&lt;=12,1,1+Параметры!$B$34),0)</f>
        <v/>
      </c>
      <c r="L30" s="115">
        <f>ROUND(Параметры!$B$25*IF(L$48&lt;=12,1,1+Параметры!$B$34),0)</f>
        <v/>
      </c>
      <c r="M30" s="115">
        <f>ROUND(Параметры!$B$25*IF(M$48&lt;=12,1,1+Параметры!$B$34),0)</f>
        <v/>
      </c>
      <c r="N30" s="115">
        <f>ROUND(Параметры!$B$25*IF(N$48&lt;=12,1,1+Параметры!$B$34),0)</f>
        <v/>
      </c>
      <c r="O30" s="115">
        <f>ROUND(Параметры!$B$25*IF(O$48&lt;=12,1,1+Параметры!$B$34),0)</f>
        <v/>
      </c>
      <c r="P30" s="115">
        <f>ROUND(Параметры!$B$25*IF(P$48&lt;=12,1,1+Параметры!$B$34),0)</f>
        <v/>
      </c>
      <c r="Q30" s="115">
        <f>ROUND(Параметры!$B$25*IF(Q$48&lt;=12,1,1+Параметры!$B$34),0)</f>
        <v/>
      </c>
      <c r="R30" s="115">
        <f>ROUND(Параметры!$B$25*IF(R$48&lt;=12,1,1+Параметры!$B$34),0)</f>
        <v/>
      </c>
      <c r="S30" s="115">
        <f>ROUND(Параметры!$B$25*IF(S$48&lt;=12,1,1+Параметры!$B$34),0)</f>
        <v/>
      </c>
      <c r="T30" s="115">
        <f>ROUND(Параметры!$B$25*IF(T$48&lt;=12,1,1+Параметры!$B$34),0)</f>
        <v/>
      </c>
      <c r="U30" s="115">
        <f>ROUND(Параметры!$B$25*IF(U$48&lt;=12,1,1+Параметры!$B$34),0)</f>
        <v/>
      </c>
      <c r="V30" s="115">
        <f>ROUND(Параметры!$B$25*IF(V$48&lt;=12,1,1+Параметры!$B$34),0)</f>
        <v/>
      </c>
      <c r="W30" s="115">
        <f>ROUND(Параметры!$B$25*IF(W$48&lt;=12,1,1+Параметры!$B$34),0)</f>
        <v/>
      </c>
      <c r="X30" s="115">
        <f>ROUND(Параметры!$B$25*IF(X$48&lt;=12,1,1+Параметры!$B$34),0)</f>
        <v/>
      </c>
      <c r="Y30" s="115">
        <f>ROUND(Параметры!$B$25*IF(Y$48&lt;=12,1,1+Параметры!$B$34),0)</f>
        <v/>
      </c>
      <c r="Z30" s="116">
        <f>SUM(B30:Y30)</f>
        <v/>
      </c>
      <c r="AA30" s="6" t="n"/>
      <c r="AB30" s="6" t="n"/>
    </row>
    <row r="31" ht="15" customHeight="1" s="92">
      <c r="A31" s="61" t="inlineStr">
        <is>
          <t>Зп менеджер по продажам 2 (оклад)</t>
        </is>
      </c>
      <c r="B31" s="115">
        <f>IF(B$48&lt;Параметры!$B$29,0,ROUND(Параметры!$B$27*IF(B$48&lt;=12,1,1+Параметры!$B$34),0))</f>
        <v/>
      </c>
      <c r="C31" s="115">
        <f>IF(C$48&lt;Параметры!$B$29,0,ROUND(Параметры!$B$27*IF(C$48&lt;=12,1,1+Параметры!$B$34),0))</f>
        <v/>
      </c>
      <c r="D31" s="115">
        <f>IF(D$48&lt;Параметры!$B$29,0,ROUND(Параметры!$B$27*IF(D$48&lt;=12,1,1+Параметры!$B$34),0))</f>
        <v/>
      </c>
      <c r="E31" s="115">
        <f>IF(E$48&lt;Параметры!$B$29,0,ROUND(Параметры!$B$27*IF(E$48&lt;=12,1,1+Параметры!$B$34),0))</f>
        <v/>
      </c>
      <c r="F31" s="115">
        <f>IF(F$48&lt;Параметры!$B$29,0,ROUND(Параметры!$B$27*IF(F$48&lt;=12,1,1+Параметры!$B$34),0))</f>
        <v/>
      </c>
      <c r="G31" s="115">
        <f>IF(G$48&lt;Параметры!$B$29,0,ROUND(Параметры!$B$27*IF(G$48&lt;=12,1,1+Параметры!$B$34),0))</f>
        <v/>
      </c>
      <c r="H31" s="115">
        <f>IF(H$48&lt;Параметры!$B$29,0,ROUND(Параметры!$B$27*IF(H$48&lt;=12,1,1+Параметры!$B$34),0))</f>
        <v/>
      </c>
      <c r="I31" s="115">
        <f>IF(I$48&lt;Параметры!$B$29,0,ROUND(Параметры!$B$27*IF(I$48&lt;=12,1,1+Параметры!$B$34),0))</f>
        <v/>
      </c>
      <c r="J31" s="115">
        <f>IF(J$48&lt;Параметры!$B$29,0,ROUND(Параметры!$B$27*IF(J$48&lt;=12,1,1+Параметры!$B$34),0))</f>
        <v/>
      </c>
      <c r="K31" s="115">
        <f>IF(K$48&lt;Параметры!$B$29,0,ROUND(Параметры!$B$27*IF(K$48&lt;=12,1,1+Параметры!$B$34),0))</f>
        <v/>
      </c>
      <c r="L31" s="115">
        <f>IF(L$48&lt;Параметры!$B$29,0,ROUND(Параметры!$B$27*IF(L$48&lt;=12,1,1+Параметры!$B$34),0))</f>
        <v/>
      </c>
      <c r="M31" s="115">
        <f>IF(M$48&lt;Параметры!$B$29,0,ROUND(Параметры!$B$27*IF(M$48&lt;=12,1,1+Параметры!$B$34),0))</f>
        <v/>
      </c>
      <c r="N31" s="115">
        <f>IF(N$48&lt;Параметры!$B$29,0,ROUND(Параметры!$B$27*IF(N$48&lt;=12,1,1+Параметры!$B$34),0))</f>
        <v/>
      </c>
      <c r="O31" s="115">
        <f>IF(O$48&lt;Параметры!$B$29,0,ROUND(Параметры!$B$27*IF(O$48&lt;=12,1,1+Параметры!$B$34),0))</f>
        <v/>
      </c>
      <c r="P31" s="115">
        <f>IF(P$48&lt;Параметры!$B$29,0,ROUND(Параметры!$B$27*IF(P$48&lt;=12,1,1+Параметры!$B$34),0))</f>
        <v/>
      </c>
      <c r="Q31" s="115">
        <f>IF(Q$48&lt;Параметры!$B$29,0,ROUND(Параметры!$B$27*IF(Q$48&lt;=12,1,1+Параметры!$B$34),0))</f>
        <v/>
      </c>
      <c r="R31" s="115">
        <f>IF(R$48&lt;Параметры!$B$29,0,ROUND(Параметры!$B$27*IF(R$48&lt;=12,1,1+Параметры!$B$34),0))</f>
        <v/>
      </c>
      <c r="S31" s="115">
        <f>IF(S$48&lt;Параметры!$B$29,0,ROUND(Параметры!$B$27*IF(S$48&lt;=12,1,1+Параметры!$B$34),0))</f>
        <v/>
      </c>
      <c r="T31" s="115">
        <f>IF(T$48&lt;Параметры!$B$29,0,ROUND(Параметры!$B$27*IF(T$48&lt;=12,1,1+Параметры!$B$34),0))</f>
        <v/>
      </c>
      <c r="U31" s="115">
        <f>IF(U$48&lt;Параметры!$B$29,0,ROUND(Параметры!$B$27*IF(U$48&lt;=12,1,1+Параметры!$B$34),0))</f>
        <v/>
      </c>
      <c r="V31" s="115">
        <f>IF(V$48&lt;Параметры!$B$29,0,ROUND(Параметры!$B$27*IF(V$48&lt;=12,1,1+Параметры!$B$34),0))</f>
        <v/>
      </c>
      <c r="W31" s="115">
        <f>IF(W$48&lt;Параметры!$B$29,0,ROUND(Параметры!$B$27*IF(W$48&lt;=12,1,1+Параметры!$B$34),0))</f>
        <v/>
      </c>
      <c r="X31" s="115">
        <f>IF(X$48&lt;Параметры!$B$29,0,ROUND(Параметры!$B$27*IF(X$48&lt;=12,1,1+Параметры!$B$34),0))</f>
        <v/>
      </c>
      <c r="Y31" s="115">
        <f>IF(Y$48&lt;Параметры!$B$29,0,ROUND(Параметры!$B$27*IF(Y$48&lt;=12,1,1+Параметры!$B$34),0))</f>
        <v/>
      </c>
      <c r="Z31" s="116">
        <f>SUM(B31:Y31)</f>
        <v/>
      </c>
      <c r="AA31" s="6" t="n"/>
      <c r="AB31" s="6" t="n"/>
    </row>
    <row r="32" ht="15" customHeight="1" s="92">
      <c r="A32" s="61" t="inlineStr">
        <is>
          <t>Зп маркетолог (оклад)</t>
        </is>
      </c>
      <c r="B32" s="115">
        <f>ROUND(Параметры!$B$30*IF(B$48&lt;=12,1,1+Параметры!$B$34),0)</f>
        <v/>
      </c>
      <c r="C32" s="115">
        <f>ROUND(Параметры!$B$30*IF(C$48&lt;=12,1,1+Параметры!$B$34),0)</f>
        <v/>
      </c>
      <c r="D32" s="115">
        <f>ROUND(Параметры!$B$30*IF(D$48&lt;=12,1,1+Параметры!$B$34),0)</f>
        <v/>
      </c>
      <c r="E32" s="115">
        <f>ROUND(Параметры!$B$30*IF(E$48&lt;=12,1,1+Параметры!$B$34),0)</f>
        <v/>
      </c>
      <c r="F32" s="115">
        <f>ROUND(Параметры!$B$30*IF(F$48&lt;=12,1,1+Параметры!$B$34),0)</f>
        <v/>
      </c>
      <c r="G32" s="115">
        <f>ROUND(Параметры!$B$30*IF(G$48&lt;=12,1,1+Параметры!$B$34),0)</f>
        <v/>
      </c>
      <c r="H32" s="115">
        <f>ROUND(Параметры!$B$30*IF(H$48&lt;=12,1,1+Параметры!$B$34),0)</f>
        <v/>
      </c>
      <c r="I32" s="115">
        <f>ROUND(Параметры!$B$30*IF(I$48&lt;=12,1,1+Параметры!$B$34),0)</f>
        <v/>
      </c>
      <c r="J32" s="115">
        <f>ROUND(Параметры!$B$30*IF(J$48&lt;=12,1,1+Параметры!$B$34),0)</f>
        <v/>
      </c>
      <c r="K32" s="115">
        <f>ROUND(Параметры!$B$30*IF(K$48&lt;=12,1,1+Параметры!$B$34),0)</f>
        <v/>
      </c>
      <c r="L32" s="115">
        <f>ROUND(Параметры!$B$30*IF(L$48&lt;=12,1,1+Параметры!$B$34),0)</f>
        <v/>
      </c>
      <c r="M32" s="115">
        <f>ROUND(Параметры!$B$30*IF(M$48&lt;=12,1,1+Параметры!$B$34),0)</f>
        <v/>
      </c>
      <c r="N32" s="115">
        <f>ROUND(Параметры!$B$30*IF(N$48&lt;=12,1,1+Параметры!$B$34),0)</f>
        <v/>
      </c>
      <c r="O32" s="115">
        <f>ROUND(Параметры!$B$30*IF(O$48&lt;=12,1,1+Параметры!$B$34),0)</f>
        <v/>
      </c>
      <c r="P32" s="115">
        <f>ROUND(Параметры!$B$30*IF(P$48&lt;=12,1,1+Параметры!$B$34),0)</f>
        <v/>
      </c>
      <c r="Q32" s="115">
        <f>ROUND(Параметры!$B$30*IF(Q$48&lt;=12,1,1+Параметры!$B$34),0)</f>
        <v/>
      </c>
      <c r="R32" s="115">
        <f>ROUND(Параметры!$B$30*IF(R$48&lt;=12,1,1+Параметры!$B$34),0)</f>
        <v/>
      </c>
      <c r="S32" s="115">
        <f>ROUND(Параметры!$B$30*IF(S$48&lt;=12,1,1+Параметры!$B$34),0)</f>
        <v/>
      </c>
      <c r="T32" s="115">
        <f>ROUND(Параметры!$B$30*IF(T$48&lt;=12,1,1+Параметры!$B$34),0)</f>
        <v/>
      </c>
      <c r="U32" s="115">
        <f>ROUND(Параметры!$B$30*IF(U$48&lt;=12,1,1+Параметры!$B$34),0)</f>
        <v/>
      </c>
      <c r="V32" s="115">
        <f>ROUND(Параметры!$B$30*IF(V$48&lt;=12,1,1+Параметры!$B$34),0)</f>
        <v/>
      </c>
      <c r="W32" s="115">
        <f>ROUND(Параметры!$B$30*IF(W$48&lt;=12,1,1+Параметры!$B$34),0)</f>
        <v/>
      </c>
      <c r="X32" s="115">
        <f>ROUND(Параметры!$B$30*IF(X$48&lt;=12,1,1+Параметры!$B$34),0)</f>
        <v/>
      </c>
      <c r="Y32" s="115">
        <f>ROUND(Параметры!$B$30*IF(Y$48&lt;=12,1,1+Параметры!$B$34),0)</f>
        <v/>
      </c>
      <c r="Z32" s="116">
        <f>SUM(B32:Y32)</f>
        <v/>
      </c>
      <c r="AA32" s="6" t="n"/>
      <c r="AB32" s="6" t="n"/>
    </row>
    <row r="33" ht="15" customHeight="1" s="92">
      <c r="A33" s="61" t="inlineStr">
        <is>
          <t>ЗП Руководителя</t>
        </is>
      </c>
      <c r="B33" s="115">
        <f>ROUND(Параметры!$B$24*IF(B$48&lt;=12,1,1+Параметры!$B$34),0)</f>
        <v/>
      </c>
      <c r="C33" s="115">
        <f>ROUND(Параметры!$B$24*IF(C$48&lt;=12,1,1+Параметры!$B$34),0)</f>
        <v/>
      </c>
      <c r="D33" s="115">
        <f>ROUND(Параметры!$B$24*IF(D$48&lt;=12,1,1+Параметры!$B$34),0)</f>
        <v/>
      </c>
      <c r="E33" s="115">
        <f>ROUND(Параметры!$B$24*IF(E$48&lt;=12,1,1+Параметры!$B$34),0)</f>
        <v/>
      </c>
      <c r="F33" s="115">
        <f>ROUND(Параметры!$B$24*IF(F$48&lt;=12,1,1+Параметры!$B$34),0)</f>
        <v/>
      </c>
      <c r="G33" s="115">
        <f>ROUND(Параметры!$B$24*IF(G$48&lt;=12,1,1+Параметры!$B$34),0)</f>
        <v/>
      </c>
      <c r="H33" s="115">
        <f>ROUND(Параметры!$B$24*IF(H$48&lt;=12,1,1+Параметры!$B$34),0)</f>
        <v/>
      </c>
      <c r="I33" s="115">
        <f>ROUND(Параметры!$B$24*IF(I$48&lt;=12,1,1+Параметры!$B$34),0)</f>
        <v/>
      </c>
      <c r="J33" s="115">
        <f>ROUND(Параметры!$B$24*IF(J$48&lt;=12,1,1+Параметры!$B$34),0)</f>
        <v/>
      </c>
      <c r="K33" s="115">
        <f>ROUND(Параметры!$B$24*IF(K$48&lt;=12,1,1+Параметры!$B$34),0)</f>
        <v/>
      </c>
      <c r="L33" s="115">
        <f>ROUND(Параметры!$B$24*IF(L$48&lt;=12,1,1+Параметры!$B$34),0)</f>
        <v/>
      </c>
      <c r="M33" s="115">
        <f>ROUND(Параметры!$B$24*IF(M$48&lt;=12,1,1+Параметры!$B$34),0)</f>
        <v/>
      </c>
      <c r="N33" s="115">
        <f>ROUND(Параметры!$B$24*IF(N$48&lt;=12,1,1+Параметры!$B$34),0)</f>
        <v/>
      </c>
      <c r="O33" s="115">
        <f>ROUND(Параметры!$B$24*IF(O$48&lt;=12,1,1+Параметры!$B$34),0)</f>
        <v/>
      </c>
      <c r="P33" s="115">
        <f>ROUND(Параметры!$B$24*IF(P$48&lt;=12,1,1+Параметры!$B$34),0)</f>
        <v/>
      </c>
      <c r="Q33" s="115">
        <f>ROUND(Параметры!$B$24*IF(Q$48&lt;=12,1,1+Параметры!$B$34),0)</f>
        <v/>
      </c>
      <c r="R33" s="115">
        <f>ROUND(Параметры!$B$24*IF(R$48&lt;=12,1,1+Параметры!$B$34),0)</f>
        <v/>
      </c>
      <c r="S33" s="115">
        <f>ROUND(Параметры!$B$24*IF(S$48&lt;=12,1,1+Параметры!$B$34),0)</f>
        <v/>
      </c>
      <c r="T33" s="115">
        <f>ROUND(Параметры!$B$24*IF(T$48&lt;=12,1,1+Параметры!$B$34),0)</f>
        <v/>
      </c>
      <c r="U33" s="115">
        <f>ROUND(Параметры!$B$24*IF(U$48&lt;=12,1,1+Параметры!$B$34),0)</f>
        <v/>
      </c>
      <c r="V33" s="115">
        <f>ROUND(Параметры!$B$24*IF(V$48&lt;=12,1,1+Параметры!$B$34),0)</f>
        <v/>
      </c>
      <c r="W33" s="115">
        <f>ROUND(Параметры!$B$24*IF(W$48&lt;=12,1,1+Параметры!$B$34),0)</f>
        <v/>
      </c>
      <c r="X33" s="115">
        <f>ROUND(Параметры!$B$24*IF(X$48&lt;=12,1,1+Параметры!$B$34),0)</f>
        <v/>
      </c>
      <c r="Y33" s="115">
        <f>ROUND(Параметры!$B$24*IF(Y$48&lt;=12,1,1+Параметры!$B$34),0)</f>
        <v/>
      </c>
      <c r="Z33" s="116">
        <f>SUM(B33:Y33)</f>
        <v/>
      </c>
      <c r="AA33" s="6" t="n"/>
      <c r="AB33" s="6" t="n"/>
    </row>
    <row r="34" ht="15" customHeight="1" s="92">
      <c r="A34" s="62" t="inlineStr">
        <is>
          <t>ИТОГО расходы на ФОТ</t>
        </is>
      </c>
      <c r="B34" s="63">
        <f>SUM(B27:B33)</f>
        <v/>
      </c>
      <c r="C34" s="63">
        <f>SUM(C27:C33)</f>
        <v/>
      </c>
      <c r="D34" s="63">
        <f>SUM(D27:D33)</f>
        <v/>
      </c>
      <c r="E34" s="63">
        <f>SUM(E27:E33)</f>
        <v/>
      </c>
      <c r="F34" s="63">
        <f>SUM(F27:F33)</f>
        <v/>
      </c>
      <c r="G34" s="63">
        <f>SUM(G27:G33)</f>
        <v/>
      </c>
      <c r="H34" s="63">
        <f>SUM(H27:H33)</f>
        <v/>
      </c>
      <c r="I34" s="63">
        <f>SUM(I27:I33)</f>
        <v/>
      </c>
      <c r="J34" s="63">
        <f>SUM(J27:J33)</f>
        <v/>
      </c>
      <c r="K34" s="63">
        <f>SUM(K27:K33)</f>
        <v/>
      </c>
      <c r="L34" s="63">
        <f>SUM(L27:L33)</f>
        <v/>
      </c>
      <c r="M34" s="63">
        <f>SUM(M27:M33)</f>
        <v/>
      </c>
      <c r="N34" s="63">
        <f>SUM(N27:N33)</f>
        <v/>
      </c>
      <c r="O34" s="63">
        <f>SUM(O27:O33)</f>
        <v/>
      </c>
      <c r="P34" s="63">
        <f>SUM(P27:P33)</f>
        <v/>
      </c>
      <c r="Q34" s="63">
        <f>SUM(Q27:Q33)</f>
        <v/>
      </c>
      <c r="R34" s="63">
        <f>SUM(R27:R33)</f>
        <v/>
      </c>
      <c r="S34" s="63">
        <f>SUM(S27:S33)</f>
        <v/>
      </c>
      <c r="T34" s="63">
        <f>SUM(T27:T33)</f>
        <v/>
      </c>
      <c r="U34" s="63">
        <f>SUM(U27:U33)</f>
        <v/>
      </c>
      <c r="V34" s="63">
        <f>SUM(V27:V33)</f>
        <v/>
      </c>
      <c r="W34" s="63">
        <f>SUM(W27:W33)</f>
        <v/>
      </c>
      <c r="X34" s="63">
        <f>SUM(X27:X33)</f>
        <v/>
      </c>
      <c r="Y34" s="63">
        <f>SUM(Y27:Y33)</f>
        <v/>
      </c>
      <c r="Z34" s="60">
        <f>SUM(B34:Y34)</f>
        <v/>
      </c>
      <c r="AA34" s="6" t="n"/>
      <c r="AB34" s="6" t="n"/>
    </row>
    <row r="35" ht="15" customHeight="1" s="92">
      <c r="A35" s="67" t="inlineStr">
        <is>
          <t>Аренда офиса и мини-склада</t>
        </is>
      </c>
      <c r="B35" s="117">
        <f>Параметры!$B$50</f>
        <v/>
      </c>
      <c r="C35" s="117">
        <f>Параметры!$B$50</f>
        <v/>
      </c>
      <c r="D35" s="117">
        <f>Параметры!$B$50</f>
        <v/>
      </c>
      <c r="E35" s="117">
        <f>Параметры!$B$50</f>
        <v/>
      </c>
      <c r="F35" s="117">
        <f>Параметры!$B$50</f>
        <v/>
      </c>
      <c r="G35" s="117">
        <f>Параметры!$B$50</f>
        <v/>
      </c>
      <c r="H35" s="117">
        <f>Параметры!$B$50</f>
        <v/>
      </c>
      <c r="I35" s="117">
        <f>Параметры!$B$50</f>
        <v/>
      </c>
      <c r="J35" s="117">
        <f>Параметры!$B$50</f>
        <v/>
      </c>
      <c r="K35" s="117">
        <f>Параметры!$B$50</f>
        <v/>
      </c>
      <c r="L35" s="117">
        <f>Параметры!$B$50</f>
        <v/>
      </c>
      <c r="M35" s="117">
        <f>Параметры!$B$50</f>
        <v/>
      </c>
      <c r="N35" s="117">
        <f>Параметры!$B$50</f>
        <v/>
      </c>
      <c r="O35" s="117">
        <f>Параметры!$B$50</f>
        <v/>
      </c>
      <c r="P35" s="117">
        <f>Параметры!$B$50</f>
        <v/>
      </c>
      <c r="Q35" s="117">
        <f>Параметры!$B$50</f>
        <v/>
      </c>
      <c r="R35" s="117">
        <f>Параметры!$B$50</f>
        <v/>
      </c>
      <c r="S35" s="117">
        <f>Параметры!$B$50</f>
        <v/>
      </c>
      <c r="T35" s="117">
        <f>Параметры!$B$50</f>
        <v/>
      </c>
      <c r="U35" s="117">
        <f>Параметры!$B$50</f>
        <v/>
      </c>
      <c r="V35" s="117">
        <f>Параметры!$B$50</f>
        <v/>
      </c>
      <c r="W35" s="117">
        <f>Параметры!$B$50</f>
        <v/>
      </c>
      <c r="X35" s="117">
        <f>Параметры!$B$50</f>
        <v/>
      </c>
      <c r="Y35" s="117">
        <f>Параметры!$B$50</f>
        <v/>
      </c>
      <c r="Z35" s="118">
        <f>SUM(B35:Y35)</f>
        <v/>
      </c>
      <c r="AA35" s="6" t="n"/>
      <c r="AB35" s="6" t="n"/>
    </row>
    <row r="36" ht="15" customHeight="1" s="92">
      <c r="A36" s="67" t="inlineStr">
        <is>
          <t>Канцелярия и прочие расходы</t>
        </is>
      </c>
      <c r="B36" s="117">
        <f>Параметры!$B$51</f>
        <v/>
      </c>
      <c r="C36" s="117">
        <f>Параметры!$B$51</f>
        <v/>
      </c>
      <c r="D36" s="117">
        <f>Параметры!$B$51</f>
        <v/>
      </c>
      <c r="E36" s="117">
        <f>Параметры!$B$51</f>
        <v/>
      </c>
      <c r="F36" s="117">
        <f>Параметры!$B$51</f>
        <v/>
      </c>
      <c r="G36" s="117">
        <f>Параметры!$B$51</f>
        <v/>
      </c>
      <c r="H36" s="117">
        <f>Параметры!$B$51</f>
        <v/>
      </c>
      <c r="I36" s="117">
        <f>Параметры!$B$51</f>
        <v/>
      </c>
      <c r="J36" s="117">
        <f>Параметры!$B$51</f>
        <v/>
      </c>
      <c r="K36" s="117">
        <f>Параметры!$B$51</f>
        <v/>
      </c>
      <c r="L36" s="117">
        <f>Параметры!$B$51</f>
        <v/>
      </c>
      <c r="M36" s="117">
        <f>Параметры!$B$51</f>
        <v/>
      </c>
      <c r="N36" s="117">
        <f>Параметры!$B$51</f>
        <v/>
      </c>
      <c r="O36" s="117">
        <f>Параметры!$B$51</f>
        <v/>
      </c>
      <c r="P36" s="117">
        <f>Параметры!$B$51</f>
        <v/>
      </c>
      <c r="Q36" s="117">
        <f>Параметры!$B$51</f>
        <v/>
      </c>
      <c r="R36" s="117">
        <f>Параметры!$B$51</f>
        <v/>
      </c>
      <c r="S36" s="117">
        <f>Параметры!$B$51</f>
        <v/>
      </c>
      <c r="T36" s="117">
        <f>Параметры!$B$51</f>
        <v/>
      </c>
      <c r="U36" s="117">
        <f>Параметры!$B$51</f>
        <v/>
      </c>
      <c r="V36" s="117">
        <f>Параметры!$B$51</f>
        <v/>
      </c>
      <c r="W36" s="117">
        <f>Параметры!$B$51</f>
        <v/>
      </c>
      <c r="X36" s="117">
        <f>Параметры!$B$51</f>
        <v/>
      </c>
      <c r="Y36" s="117">
        <f>Параметры!$B$51</f>
        <v/>
      </c>
      <c r="Z36" s="118">
        <f>SUM(B36:Y36)</f>
        <v/>
      </c>
      <c r="AA36" s="6" t="n"/>
      <c r="AB36" s="6" t="n"/>
    </row>
    <row r="37" ht="15" customHeight="1" s="92">
      <c r="A37" s="67" t="inlineStr">
        <is>
          <t>Связь и интернет</t>
        </is>
      </c>
      <c r="B37" s="117">
        <f>Параметры!$B$52</f>
        <v/>
      </c>
      <c r="C37" s="117">
        <f>Параметры!$B$52</f>
        <v/>
      </c>
      <c r="D37" s="117">
        <f>Параметры!$B$52</f>
        <v/>
      </c>
      <c r="E37" s="117">
        <f>Параметры!$B$52</f>
        <v/>
      </c>
      <c r="F37" s="117">
        <f>Параметры!$B$52</f>
        <v/>
      </c>
      <c r="G37" s="117">
        <f>Параметры!$B$52</f>
        <v/>
      </c>
      <c r="H37" s="117">
        <f>Параметры!$B$52</f>
        <v/>
      </c>
      <c r="I37" s="117">
        <f>Параметры!$B$52</f>
        <v/>
      </c>
      <c r="J37" s="117">
        <f>Параметры!$B$52</f>
        <v/>
      </c>
      <c r="K37" s="117">
        <f>Параметры!$B$52</f>
        <v/>
      </c>
      <c r="L37" s="117">
        <f>Параметры!$B$52</f>
        <v/>
      </c>
      <c r="M37" s="117">
        <f>Параметры!$B$52</f>
        <v/>
      </c>
      <c r="N37" s="117">
        <f>Параметры!$B$52</f>
        <v/>
      </c>
      <c r="O37" s="117">
        <f>Параметры!$B$52</f>
        <v/>
      </c>
      <c r="P37" s="117">
        <f>Параметры!$B$52</f>
        <v/>
      </c>
      <c r="Q37" s="117">
        <f>Параметры!$B$52</f>
        <v/>
      </c>
      <c r="R37" s="117">
        <f>Параметры!$B$52</f>
        <v/>
      </c>
      <c r="S37" s="117">
        <f>Параметры!$B$52</f>
        <v/>
      </c>
      <c r="T37" s="117">
        <f>Параметры!$B$52</f>
        <v/>
      </c>
      <c r="U37" s="117">
        <f>Параметры!$B$52</f>
        <v/>
      </c>
      <c r="V37" s="117">
        <f>Параметры!$B$52</f>
        <v/>
      </c>
      <c r="W37" s="117">
        <f>Параметры!$B$52</f>
        <v/>
      </c>
      <c r="X37" s="117">
        <f>Параметры!$B$52</f>
        <v/>
      </c>
      <c r="Y37" s="117">
        <f>Параметры!$B$52</f>
        <v/>
      </c>
      <c r="Z37" s="118">
        <f>SUM(B37:Y37)</f>
        <v/>
      </c>
      <c r="AA37" s="6" t="n"/>
      <c r="AB37" s="6" t="n"/>
    </row>
    <row r="38" ht="15" customHeight="1" s="92">
      <c r="A38" s="68" t="inlineStr">
        <is>
          <t>ИТОГО админастративные расходы</t>
        </is>
      </c>
      <c r="B38" s="69">
        <f>SUM(B35:B37)</f>
        <v/>
      </c>
      <c r="C38" s="69">
        <f>SUM(C35:C37)</f>
        <v/>
      </c>
      <c r="D38" s="69">
        <f>SUM(D35:D37)</f>
        <v/>
      </c>
      <c r="E38" s="69">
        <f>SUM(E35:E37)</f>
        <v/>
      </c>
      <c r="F38" s="69">
        <f>SUM(F35:F37)</f>
        <v/>
      </c>
      <c r="G38" s="69">
        <f>SUM(G35:G37)</f>
        <v/>
      </c>
      <c r="H38" s="69">
        <f>SUM(H35:H37)</f>
        <v/>
      </c>
      <c r="I38" s="69">
        <f>SUM(I35:I37)</f>
        <v/>
      </c>
      <c r="J38" s="69">
        <f>SUM(J35:J37)</f>
        <v/>
      </c>
      <c r="K38" s="69">
        <f>SUM(K35:K37)</f>
        <v/>
      </c>
      <c r="L38" s="69">
        <f>SUM(L35:L37)</f>
        <v/>
      </c>
      <c r="M38" s="69">
        <f>SUM(M35:M37)</f>
        <v/>
      </c>
      <c r="N38" s="69">
        <f>SUM(N35:N37)</f>
        <v/>
      </c>
      <c r="O38" s="69">
        <f>SUM(O35:O37)</f>
        <v/>
      </c>
      <c r="P38" s="69">
        <f>SUM(P35:P37)</f>
        <v/>
      </c>
      <c r="Q38" s="69">
        <f>SUM(Q35:Q37)</f>
        <v/>
      </c>
      <c r="R38" s="69">
        <f>SUM(R35:R37)</f>
        <v/>
      </c>
      <c r="S38" s="69">
        <f>SUM(S35:S37)</f>
        <v/>
      </c>
      <c r="T38" s="69">
        <f>SUM(T35:T37)</f>
        <v/>
      </c>
      <c r="U38" s="69">
        <f>SUM(U35:U37)</f>
        <v/>
      </c>
      <c r="V38" s="69">
        <f>SUM(V35:V37)</f>
        <v/>
      </c>
      <c r="W38" s="69">
        <f>SUM(W35:W37)</f>
        <v/>
      </c>
      <c r="X38" s="69">
        <f>SUM(X35:X37)</f>
        <v/>
      </c>
      <c r="Y38" s="69">
        <f>SUM(Y35:Y37)</f>
        <v/>
      </c>
      <c r="Z38" s="66">
        <f>SUM(B38:Y38)</f>
        <v/>
      </c>
      <c r="AA38" s="6" t="n"/>
      <c r="AB38" s="6" t="n"/>
    </row>
    <row r="39" ht="15" customHeight="1" s="92">
      <c r="A39" s="70" t="inlineStr">
        <is>
          <t>Себестоимость товара (пошив, печать, закупка)</t>
        </is>
      </c>
      <c r="B39" s="119">
        <f>B50+IF(Параметры!$B$55=1,C50,0)</f>
        <v/>
      </c>
      <c r="C39" s="119">
        <f>C50</f>
        <v/>
      </c>
      <c r="D39" s="119">
        <f>D50</f>
        <v/>
      </c>
      <c r="E39" s="119">
        <f>E50</f>
        <v/>
      </c>
      <c r="F39" s="119">
        <f>F50</f>
        <v/>
      </c>
      <c r="G39" s="119">
        <f>G50</f>
        <v/>
      </c>
      <c r="H39" s="119">
        <f>H50</f>
        <v/>
      </c>
      <c r="I39" s="119">
        <f>I50</f>
        <v/>
      </c>
      <c r="J39" s="119">
        <f>J50</f>
        <v/>
      </c>
      <c r="K39" s="119">
        <f>K50</f>
        <v/>
      </c>
      <c r="L39" s="119">
        <f>L50</f>
        <v/>
      </c>
      <c r="M39" s="119">
        <f>M50</f>
        <v/>
      </c>
      <c r="N39" s="119">
        <f>N50</f>
        <v/>
      </c>
      <c r="O39" s="119">
        <f>O50</f>
        <v/>
      </c>
      <c r="P39" s="119">
        <f>P50</f>
        <v/>
      </c>
      <c r="Q39" s="119">
        <f>Q50</f>
        <v/>
      </c>
      <c r="R39" s="119">
        <f>R50</f>
        <v/>
      </c>
      <c r="S39" s="119">
        <f>S50</f>
        <v/>
      </c>
      <c r="T39" s="119">
        <f>T50</f>
        <v/>
      </c>
      <c r="U39" s="119">
        <f>U50</f>
        <v/>
      </c>
      <c r="V39" s="119">
        <f>V50</f>
        <v/>
      </c>
      <c r="W39" s="119">
        <f>W50</f>
        <v/>
      </c>
      <c r="X39" s="119">
        <f>X50</f>
        <v/>
      </c>
      <c r="Y39" s="119">
        <f>Y50</f>
        <v/>
      </c>
      <c r="Z39" s="120">
        <f>SUM(B39:Y39)</f>
        <v/>
      </c>
      <c r="AA39" s="6" t="n"/>
      <c r="AB39" s="6" t="n"/>
    </row>
    <row r="40" ht="15" customHeight="1" s="92">
      <c r="A40" s="70" t="inlineStr">
        <is>
          <t>Логистика и фулфилмент</t>
        </is>
      </c>
      <c r="B40" s="119">
        <f>ROUND((B3+B6+B9)*Параметры!$B$53,0)</f>
        <v/>
      </c>
      <c r="C40" s="119">
        <f>ROUND((C3+C6+C9)*Параметры!$B$53,0)</f>
        <v/>
      </c>
      <c r="D40" s="119">
        <f>ROUND((D3+D6+D9)*Параметры!$B$53,0)</f>
        <v/>
      </c>
      <c r="E40" s="119">
        <f>ROUND((E3+E6+E9)*Параметры!$B$53,0)</f>
        <v/>
      </c>
      <c r="F40" s="119">
        <f>ROUND((F3+F6+F9)*Параметры!$B$53,0)</f>
        <v/>
      </c>
      <c r="G40" s="119">
        <f>ROUND((G3+G6+G9)*Параметры!$B$53,0)</f>
        <v/>
      </c>
      <c r="H40" s="119">
        <f>ROUND((H3+H6+H9)*Параметры!$B$53,0)</f>
        <v/>
      </c>
      <c r="I40" s="119">
        <f>ROUND((I3+I6+I9)*Параметры!$B$53,0)</f>
        <v/>
      </c>
      <c r="J40" s="119">
        <f>ROUND((J3+J6+J9)*Параметры!$B$53,0)</f>
        <v/>
      </c>
      <c r="K40" s="119">
        <f>ROUND((K3+K6+K9)*Параметры!$B$53,0)</f>
        <v/>
      </c>
      <c r="L40" s="119">
        <f>ROUND((L3+L6+L9)*Параметры!$B$53,0)</f>
        <v/>
      </c>
      <c r="M40" s="119">
        <f>ROUND((M3+M6+M9)*Параметры!$B$53,0)</f>
        <v/>
      </c>
      <c r="N40" s="119">
        <f>ROUND((N3+N6+N9)*Параметры!$B$53,0)</f>
        <v/>
      </c>
      <c r="O40" s="119">
        <f>ROUND((O3+O6+O9)*Параметры!$B$53,0)</f>
        <v/>
      </c>
      <c r="P40" s="119">
        <f>ROUND((P3+P6+P9)*Параметры!$B$53,0)</f>
        <v/>
      </c>
      <c r="Q40" s="119">
        <f>ROUND((Q3+Q6+Q9)*Параметры!$B$53,0)</f>
        <v/>
      </c>
      <c r="R40" s="119">
        <f>ROUND((R3+R6+R9)*Параметры!$B$53,0)</f>
        <v/>
      </c>
      <c r="S40" s="119">
        <f>ROUND((S3+S6+S9)*Параметры!$B$53,0)</f>
        <v/>
      </c>
      <c r="T40" s="119">
        <f>ROUND((T3+T6+T9)*Параметры!$B$53,0)</f>
        <v/>
      </c>
      <c r="U40" s="119">
        <f>ROUND((U3+U6+U9)*Параметры!$B$53,0)</f>
        <v/>
      </c>
      <c r="V40" s="119">
        <f>ROUND((V3+V6+V9)*Параметры!$B$53,0)</f>
        <v/>
      </c>
      <c r="W40" s="119">
        <f>ROUND((W3+W6+W9)*Параметры!$B$53,0)</f>
        <v/>
      </c>
      <c r="X40" s="119">
        <f>ROUND((X3+X6+X9)*Параметры!$B$53,0)</f>
        <v/>
      </c>
      <c r="Y40" s="119">
        <f>ROUND((Y3+Y6+Y9)*Параметры!$B$53,0)</f>
        <v/>
      </c>
      <c r="Z40" s="120">
        <f>SUM(B40:Y40)</f>
        <v/>
      </c>
      <c r="AA40" s="6" t="n"/>
      <c r="AB40" s="6" t="n"/>
    </row>
    <row r="41" ht="15" customHeight="1" s="92">
      <c r="A41" s="70" t="inlineStr">
        <is>
          <t>Упаковка, брак и возвраты</t>
        </is>
      </c>
      <c r="B41" s="119">
        <f>ROUND((B3+B6)*Параметры!$B$54,0)</f>
        <v/>
      </c>
      <c r="C41" s="119">
        <f>ROUND((C3+C6)*Параметры!$B$54,0)</f>
        <v/>
      </c>
      <c r="D41" s="119">
        <f>ROUND((D3+D6)*Параметры!$B$54,0)</f>
        <v/>
      </c>
      <c r="E41" s="119">
        <f>ROUND((E3+E6)*Параметры!$B$54,0)</f>
        <v/>
      </c>
      <c r="F41" s="119">
        <f>ROUND((F3+F6)*Параметры!$B$54,0)</f>
        <v/>
      </c>
      <c r="G41" s="119">
        <f>ROUND((G3+G6)*Параметры!$B$54,0)</f>
        <v/>
      </c>
      <c r="H41" s="119">
        <f>ROUND((H3+H6)*Параметры!$B$54,0)</f>
        <v/>
      </c>
      <c r="I41" s="119">
        <f>ROUND((I3+I6)*Параметры!$B$54,0)</f>
        <v/>
      </c>
      <c r="J41" s="119">
        <f>ROUND((J3+J6)*Параметры!$B$54,0)</f>
        <v/>
      </c>
      <c r="K41" s="119">
        <f>ROUND((K3+K6)*Параметры!$B$54,0)</f>
        <v/>
      </c>
      <c r="L41" s="119">
        <f>ROUND((L3+L6)*Параметры!$B$54,0)</f>
        <v/>
      </c>
      <c r="M41" s="119">
        <f>ROUND((M3+M6)*Параметры!$B$54,0)</f>
        <v/>
      </c>
      <c r="N41" s="119">
        <f>ROUND((N3+N6)*Параметры!$B$54,0)</f>
        <v/>
      </c>
      <c r="O41" s="119">
        <f>ROUND((O3+O6)*Параметры!$B$54,0)</f>
        <v/>
      </c>
      <c r="P41" s="119">
        <f>ROUND((P3+P6)*Параметры!$B$54,0)</f>
        <v/>
      </c>
      <c r="Q41" s="119">
        <f>ROUND((Q3+Q6)*Параметры!$B$54,0)</f>
        <v/>
      </c>
      <c r="R41" s="119">
        <f>ROUND((R3+R6)*Параметры!$B$54,0)</f>
        <v/>
      </c>
      <c r="S41" s="119">
        <f>ROUND((S3+S6)*Параметры!$B$54,0)</f>
        <v/>
      </c>
      <c r="T41" s="119">
        <f>ROUND((T3+T6)*Параметры!$B$54,0)</f>
        <v/>
      </c>
      <c r="U41" s="119">
        <f>ROUND((U3+U6)*Параметры!$B$54,0)</f>
        <v/>
      </c>
      <c r="V41" s="119">
        <f>ROUND((V3+V6)*Параметры!$B$54,0)</f>
        <v/>
      </c>
      <c r="W41" s="119">
        <f>ROUND((W3+W6)*Параметры!$B$54,0)</f>
        <v/>
      </c>
      <c r="X41" s="119">
        <f>ROUND((X3+X6)*Параметры!$B$54,0)</f>
        <v/>
      </c>
      <c r="Y41" s="119">
        <f>ROUND((Y3+Y6)*Параметры!$B$54,0)</f>
        <v/>
      </c>
      <c r="Z41" s="120">
        <f>SUM(B41:Y41)</f>
        <v/>
      </c>
      <c r="AA41" s="6" t="n"/>
      <c r="AB41" s="6" t="n"/>
    </row>
    <row r="42" ht="15" customHeight="1" s="92">
      <c r="A42" s="73" t="inlineStr">
        <is>
          <t>ИТОГО прочие расходы</t>
        </is>
      </c>
      <c r="B42" s="71">
        <f>SUM(B39:B41)</f>
        <v/>
      </c>
      <c r="C42" s="71">
        <f>SUM(C39:C41)</f>
        <v/>
      </c>
      <c r="D42" s="71">
        <f>SUM(D39:D41)</f>
        <v/>
      </c>
      <c r="E42" s="71">
        <f>SUM(E39:E41)</f>
        <v/>
      </c>
      <c r="F42" s="71">
        <f>SUM(F39:F41)</f>
        <v/>
      </c>
      <c r="G42" s="71">
        <f>SUM(G39:G41)</f>
        <v/>
      </c>
      <c r="H42" s="71">
        <f>SUM(H39:H41)</f>
        <v/>
      </c>
      <c r="I42" s="71">
        <f>SUM(I39:I41)</f>
        <v/>
      </c>
      <c r="J42" s="71">
        <f>SUM(J39:J41)</f>
        <v/>
      </c>
      <c r="K42" s="71">
        <f>SUM(K39:K41)</f>
        <v/>
      </c>
      <c r="L42" s="71">
        <f>SUM(L39:L41)</f>
        <v/>
      </c>
      <c r="M42" s="71">
        <f>SUM(M39:M41)</f>
        <v/>
      </c>
      <c r="N42" s="71">
        <f>SUM(N39:N41)</f>
        <v/>
      </c>
      <c r="O42" s="71">
        <f>SUM(O39:O41)</f>
        <v/>
      </c>
      <c r="P42" s="71">
        <f>SUM(P39:P41)</f>
        <v/>
      </c>
      <c r="Q42" s="71">
        <f>SUM(Q39:Q41)</f>
        <v/>
      </c>
      <c r="R42" s="71">
        <f>SUM(R39:R41)</f>
        <v/>
      </c>
      <c r="S42" s="71">
        <f>SUM(S39:S41)</f>
        <v/>
      </c>
      <c r="T42" s="71">
        <f>SUM(T39:T41)</f>
        <v/>
      </c>
      <c r="U42" s="71">
        <f>SUM(U39:U41)</f>
        <v/>
      </c>
      <c r="V42" s="71">
        <f>SUM(V39:V41)</f>
        <v/>
      </c>
      <c r="W42" s="71">
        <f>SUM(W39:W41)</f>
        <v/>
      </c>
      <c r="X42" s="71">
        <f>SUM(X39:X41)</f>
        <v/>
      </c>
      <c r="Y42" s="71">
        <f>SUM(Y39:Y41)</f>
        <v/>
      </c>
      <c r="Z42" s="72">
        <f>SUM(B42:Y42)</f>
        <v/>
      </c>
      <c r="AA42" s="6" t="n"/>
      <c r="AB42" s="6" t="n"/>
    </row>
    <row r="43" ht="15" customHeight="1" s="92">
      <c r="A43" s="74" t="inlineStr">
        <is>
          <t>ВОЗВРАТ ИНВЕСТИЦИЙ</t>
        </is>
      </c>
      <c r="B43" s="121">
        <f>MIN(B49,ROUND(MAX(0,B53)*Параметры!$B$66,0),MAX(0,Параметры!$B$70+B11-(B17+B22+B26+B34+B38+B42)-Параметры!$B$67))</f>
        <v/>
      </c>
      <c r="C43" s="121">
        <f>MIN(C49,ROUND(MAX(0,C53)*Параметры!$B$66,0),MAX(0,B46+C11-(C17+C22+C26+C34+C38+C42)-Параметры!$B$67))</f>
        <v/>
      </c>
      <c r="D43" s="121">
        <f>MIN(D49,ROUND(MAX(0,D53)*Параметры!$B$66,0),MAX(0,C46+D11-(D17+D22+D26+D34+D38+D42)-Параметры!$B$67))</f>
        <v/>
      </c>
      <c r="E43" s="121">
        <f>MIN(E49,ROUND(MAX(0,E53)*Параметры!$B$66,0),MAX(0,D46+E11-(E17+E22+E26+E34+E38+E42)-Параметры!$B$67))</f>
        <v/>
      </c>
      <c r="F43" s="121">
        <f>MIN(F49,ROUND(MAX(0,F53)*Параметры!$B$66,0),MAX(0,E46+F11-(F17+F22+F26+F34+F38+F42)-Параметры!$B$67))</f>
        <v/>
      </c>
      <c r="G43" s="121">
        <f>MIN(G49,ROUND(MAX(0,G53)*Параметры!$B$66,0),MAX(0,F46+G11-(G17+G22+G26+G34+G38+G42)-Параметры!$B$67))</f>
        <v/>
      </c>
      <c r="H43" s="121">
        <f>MIN(H49,ROUND(MAX(0,H53)*Параметры!$B$66,0),MAX(0,G46+H11-(H17+H22+H26+H34+H38+H42)-Параметры!$B$67))</f>
        <v/>
      </c>
      <c r="I43" s="121">
        <f>MIN(I49,ROUND(MAX(0,I53)*Параметры!$B$66,0),MAX(0,H46+I11-(I17+I22+I26+I34+I38+I42)-Параметры!$B$67))</f>
        <v/>
      </c>
      <c r="J43" s="121">
        <f>MIN(J49,ROUND(MAX(0,J53)*Параметры!$B$66,0),MAX(0,I46+J11-(J17+J22+J26+J34+J38+J42)-Параметры!$B$67))</f>
        <v/>
      </c>
      <c r="K43" s="121">
        <f>MIN(K49,ROUND(MAX(0,K53)*Параметры!$B$66,0),MAX(0,J46+K11-(K17+K22+K26+K34+K38+K42)-Параметры!$B$67))</f>
        <v/>
      </c>
      <c r="L43" s="121">
        <f>MIN(L49,ROUND(MAX(0,L53)*Параметры!$B$66,0),MAX(0,K46+L11-(L17+L22+L26+L34+L38+L42)-Параметры!$B$67))</f>
        <v/>
      </c>
      <c r="M43" s="121">
        <f>MIN(M49,ROUND(MAX(0,M53)*Параметры!$B$66,0),MAX(0,L46+M11-(M17+M22+M26+M34+M38+M42)-Параметры!$B$67))</f>
        <v/>
      </c>
      <c r="N43" s="121">
        <f>MIN(N49,ROUND(MAX(0,N53)*Параметры!$B$66,0),MAX(0,M46+N11-(N17+N22+N26+N34+N38+N42)-Параметры!$B$67))</f>
        <v/>
      </c>
      <c r="O43" s="121">
        <f>MIN(O49,ROUND(MAX(0,O53)*Параметры!$B$66,0),MAX(0,N46+O11-(O17+O22+O26+O34+O38+O42)-Параметры!$B$67))</f>
        <v/>
      </c>
      <c r="P43" s="121">
        <f>MIN(P49,ROUND(MAX(0,P53)*Параметры!$B$66,0),MAX(0,O46+P11-(P17+P22+P26+P34+P38+P42)-Параметры!$B$67))</f>
        <v/>
      </c>
      <c r="Q43" s="121">
        <f>MIN(Q49,ROUND(MAX(0,Q53)*Параметры!$B$66,0),MAX(0,P46+Q11-(Q17+Q22+Q26+Q34+Q38+Q42)-Параметры!$B$67))</f>
        <v/>
      </c>
      <c r="R43" s="121">
        <f>MIN(R49,ROUND(MAX(0,R53)*Параметры!$B$66,0),MAX(0,Q46+R11-(R17+R22+R26+R34+R38+R42)-Параметры!$B$67))</f>
        <v/>
      </c>
      <c r="S43" s="121">
        <f>MIN(S49,ROUND(MAX(0,S53)*Параметры!$B$66,0),MAX(0,R46+S11-(S17+S22+S26+S34+S38+S42)-Параметры!$B$67))</f>
        <v/>
      </c>
      <c r="T43" s="121">
        <f>MIN(T49,ROUND(MAX(0,T53)*Параметры!$B$66,0),MAX(0,S46+T11-(T17+T22+T26+T34+T38+T42)-Параметры!$B$67))</f>
        <v/>
      </c>
      <c r="U43" s="121">
        <f>MIN(U49,ROUND(MAX(0,U53)*Параметры!$B$66,0),MAX(0,T46+U11-(U17+U22+U26+U34+U38+U42)-Параметры!$B$67))</f>
        <v/>
      </c>
      <c r="V43" s="121">
        <f>MIN(V49,ROUND(MAX(0,V53)*Параметры!$B$66,0),MAX(0,U46+V11-(V17+V22+V26+V34+V38+V42)-Параметры!$B$67))</f>
        <v/>
      </c>
      <c r="W43" s="121">
        <f>MIN(W49,ROUND(MAX(0,W53)*Параметры!$B$66,0),MAX(0,V46+W11-(W17+W22+W26+W34+W38+W42)-Параметры!$B$67))</f>
        <v/>
      </c>
      <c r="X43" s="121">
        <f>MIN(X49,ROUND(MAX(0,X53)*Параметры!$B$66,0),MAX(0,W46+X11-(X17+X22+X26+X34+X38+X42)-Параметры!$B$67))</f>
        <v/>
      </c>
      <c r="Y43" s="121">
        <f>MIN(Y49,ROUND(MAX(0,Y53)*Параметры!$B$66,0),MAX(0,X46+Y11-(Y17+Y22+Y26+Y34+Y38+Y42)-Параметры!$B$67))</f>
        <v/>
      </c>
      <c r="Z43" s="122">
        <f>SUM(B43:Y43)</f>
        <v/>
      </c>
      <c r="AA43" s="78">
        <f>ROUND($Z$10*Параметры!$B$65,0)-$Z$43</f>
        <v/>
      </c>
      <c r="AB43" s="79" t="inlineStr">
        <is>
          <t>осталось вернуть инвестиций</t>
        </is>
      </c>
    </row>
    <row r="44" ht="15" customHeight="1" s="92">
      <c r="A44" s="80" t="inlineStr">
        <is>
          <t>РАСХОД ИТОГО</t>
        </is>
      </c>
      <c r="B44" s="81">
        <f>SUM(B43,B42,B38,B34,B26,B22,B17)</f>
        <v/>
      </c>
      <c r="C44" s="81">
        <f>SUM(C43,C42,C38,C34,C26,C22,C17)</f>
        <v/>
      </c>
      <c r="D44" s="81">
        <f>SUM(D43,D42,D38,D34,D26,D22,D17)</f>
        <v/>
      </c>
      <c r="E44" s="81">
        <f>SUM(E43,E42,E38,E34,E26,E22,E17)</f>
        <v/>
      </c>
      <c r="F44" s="81">
        <f>SUM(F43,F42,F38,F34,F26,F22,F17)</f>
        <v/>
      </c>
      <c r="G44" s="81">
        <f>SUM(G43,G42,G38,G34,G26,G22,G17)</f>
        <v/>
      </c>
      <c r="H44" s="81">
        <f>SUM(H43,H42,H38,H34,H26,H22,H17)</f>
        <v/>
      </c>
      <c r="I44" s="81">
        <f>SUM(I43,I42,I38,I34,I26,I22,I17)</f>
        <v/>
      </c>
      <c r="J44" s="81">
        <f>SUM(J43,J42,J38,J34,J26,J22,J17)</f>
        <v/>
      </c>
      <c r="K44" s="81">
        <f>SUM(K43,K42,K38,K34,K26,K22,K17)</f>
        <v/>
      </c>
      <c r="L44" s="81">
        <f>SUM(L43,L42,L38,L34,L26,L22,L17)</f>
        <v/>
      </c>
      <c r="M44" s="81">
        <f>SUM(M43,M42,M38,M34,M26,M22,M17)</f>
        <v/>
      </c>
      <c r="N44" s="81">
        <f>SUM(N43,N42,N38,N34,N26,N22,N17)</f>
        <v/>
      </c>
      <c r="O44" s="81">
        <f>SUM(O43,O42,O38,O34,O26,O22,O17)</f>
        <v/>
      </c>
      <c r="P44" s="81">
        <f>SUM(P43,P42,P38,P34,P26,P22,P17)</f>
        <v/>
      </c>
      <c r="Q44" s="81">
        <f>SUM(Q43,Q42,Q38,Q34,Q26,Q22,Q17)</f>
        <v/>
      </c>
      <c r="R44" s="81">
        <f>SUM(R43,R42,R38,R34,R26,R22,R17)</f>
        <v/>
      </c>
      <c r="S44" s="81">
        <f>SUM(S43,S42,S38,S34,S26,S22,S17)</f>
        <v/>
      </c>
      <c r="T44" s="81">
        <f>SUM(T43,T42,T38,T34,T26,T22,T17)</f>
        <v/>
      </c>
      <c r="U44" s="81">
        <f>SUM(U43,U42,U38,U34,U26,U22,U17)</f>
        <v/>
      </c>
      <c r="V44" s="81">
        <f>SUM(V43,V42,V38,V34,V26,V22,V17)</f>
        <v/>
      </c>
      <c r="W44" s="81">
        <f>SUM(W43,W42,W38,W34,W26,W22,W17)</f>
        <v/>
      </c>
      <c r="X44" s="81">
        <f>SUM(X43,X42,X38,X34,X26,X22,X17)</f>
        <v/>
      </c>
      <c r="Y44" s="81">
        <f>SUM(Y43,Y42,Y38,Y34,Y26,Y22,Y17)</f>
        <v/>
      </c>
      <c r="Z44" s="82">
        <f>SUM(B44:Y44)</f>
        <v/>
      </c>
      <c r="AA44" s="6" t="n"/>
      <c r="AB44" s="6" t="n"/>
    </row>
    <row r="45" ht="18" customHeight="1" s="92">
      <c r="A45" s="83" t="inlineStr">
        <is>
          <t>Сальдо</t>
        </is>
      </c>
      <c r="B45" s="84">
        <f>B11-B44</f>
        <v/>
      </c>
      <c r="C45" s="84">
        <f>C11-C44</f>
        <v/>
      </c>
      <c r="D45" s="84">
        <f>D11-D44</f>
        <v/>
      </c>
      <c r="E45" s="84">
        <f>E11-E44</f>
        <v/>
      </c>
      <c r="F45" s="84">
        <f>F11-F44</f>
        <v/>
      </c>
      <c r="G45" s="84">
        <f>G11-G44</f>
        <v/>
      </c>
      <c r="H45" s="84">
        <f>H11-H44</f>
        <v/>
      </c>
      <c r="I45" s="84">
        <f>I11-I44</f>
        <v/>
      </c>
      <c r="J45" s="84">
        <f>J11-J44</f>
        <v/>
      </c>
      <c r="K45" s="84">
        <f>K11-K44</f>
        <v/>
      </c>
      <c r="L45" s="84">
        <f>L11-L44</f>
        <v/>
      </c>
      <c r="M45" s="84">
        <f>M11-M44</f>
        <v/>
      </c>
      <c r="N45" s="84">
        <f>N11-N44</f>
        <v/>
      </c>
      <c r="O45" s="84">
        <f>O11-O44</f>
        <v/>
      </c>
      <c r="P45" s="84">
        <f>P11-P44</f>
        <v/>
      </c>
      <c r="Q45" s="84">
        <f>Q11-Q44</f>
        <v/>
      </c>
      <c r="R45" s="84">
        <f>R11-R44</f>
        <v/>
      </c>
      <c r="S45" s="84">
        <f>S11-S44</f>
        <v/>
      </c>
      <c r="T45" s="84">
        <f>T11-T44</f>
        <v/>
      </c>
      <c r="U45" s="84">
        <f>U11-U44</f>
        <v/>
      </c>
      <c r="V45" s="84">
        <f>V11-V44</f>
        <v/>
      </c>
      <c r="W45" s="84">
        <f>W11-W44</f>
        <v/>
      </c>
      <c r="X45" s="84">
        <f>X11-X44</f>
        <v/>
      </c>
      <c r="Y45" s="84">
        <f>Y11-Y44</f>
        <v/>
      </c>
      <c r="Z45" s="85">
        <f>SUM(B45:Y45)</f>
        <v/>
      </c>
      <c r="AA45" s="6" t="n"/>
      <c r="AB45" s="6" t="n"/>
    </row>
    <row r="46" ht="18.75" customHeight="1" s="92">
      <c r="A46" s="86" t="inlineStr">
        <is>
          <t>Ден. Поток</t>
        </is>
      </c>
      <c r="B46" s="87">
        <f>B47+B45</f>
        <v/>
      </c>
      <c r="C46" s="88">
        <f>B46+C45</f>
        <v/>
      </c>
      <c r="D46" s="88">
        <f>C46+D45</f>
        <v/>
      </c>
      <c r="E46" s="88">
        <f>D46+E45</f>
        <v/>
      </c>
      <c r="F46" s="88">
        <f>E46+F45</f>
        <v/>
      </c>
      <c r="G46" s="88">
        <f>F46+G45</f>
        <v/>
      </c>
      <c r="H46" s="88">
        <f>G46+H45</f>
        <v/>
      </c>
      <c r="I46" s="88">
        <f>H46+I45</f>
        <v/>
      </c>
      <c r="J46" s="88">
        <f>I46+J45</f>
        <v/>
      </c>
      <c r="K46" s="88">
        <f>J46+K45</f>
        <v/>
      </c>
      <c r="L46" s="88">
        <f>K46+L45</f>
        <v/>
      </c>
      <c r="M46" s="88">
        <f>L46+M45</f>
        <v/>
      </c>
      <c r="N46" s="88">
        <f>M46+N45</f>
        <v/>
      </c>
      <c r="O46" s="88">
        <f>N46+O45</f>
        <v/>
      </c>
      <c r="P46" s="88">
        <f>O46+P45</f>
        <v/>
      </c>
      <c r="Q46" s="88">
        <f>P46+Q45</f>
        <v/>
      </c>
      <c r="R46" s="88">
        <f>Q46+R45</f>
        <v/>
      </c>
      <c r="S46" s="88">
        <f>R46+S45</f>
        <v/>
      </c>
      <c r="T46" s="88">
        <f>S46+T45</f>
        <v/>
      </c>
      <c r="U46" s="88">
        <f>T46+U45</f>
        <v/>
      </c>
      <c r="V46" s="88">
        <f>U46+V45</f>
        <v/>
      </c>
      <c r="W46" s="88">
        <f>V46+W45</f>
        <v/>
      </c>
      <c r="X46" s="88">
        <f>W46+X45</f>
        <v/>
      </c>
      <c r="Y46" s="88">
        <f>X46+Y45</f>
        <v/>
      </c>
      <c r="Z46" s="89" t="n"/>
      <c r="AA46" s="6" t="n"/>
      <c r="AB46" s="6" t="n"/>
    </row>
    <row r="47" ht="19.5" customHeight="1" s="92">
      <c r="A47" s="90" t="inlineStr">
        <is>
          <t>Сальдо на начало периода</t>
        </is>
      </c>
      <c r="B47" s="123">
        <f>Параметры!$B$70</f>
        <v/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</row>
    <row r="48" ht="19.5" customHeight="1" s="92">
      <c r="A48" s="124" t="inlineStr">
        <is>
          <t>№ месяца</t>
        </is>
      </c>
      <c r="B48" s="125">
        <f>1</f>
        <v/>
      </c>
      <c r="C48" s="125">
        <f>B48+1</f>
        <v/>
      </c>
      <c r="D48" s="125">
        <f>C48+1</f>
        <v/>
      </c>
      <c r="E48" s="125">
        <f>D48+1</f>
        <v/>
      </c>
      <c r="F48" s="125">
        <f>E48+1</f>
        <v/>
      </c>
      <c r="G48" s="125">
        <f>F48+1</f>
        <v/>
      </c>
      <c r="H48" s="125">
        <f>G48+1</f>
        <v/>
      </c>
      <c r="I48" s="125">
        <f>H48+1</f>
        <v/>
      </c>
      <c r="J48" s="125">
        <f>I48+1</f>
        <v/>
      </c>
      <c r="K48" s="125">
        <f>J48+1</f>
        <v/>
      </c>
      <c r="L48" s="125">
        <f>K48+1</f>
        <v/>
      </c>
      <c r="M48" s="125">
        <f>L48+1</f>
        <v/>
      </c>
      <c r="N48" s="125">
        <f>M48+1</f>
        <v/>
      </c>
      <c r="O48" s="125">
        <f>N48+1</f>
        <v/>
      </c>
      <c r="P48" s="125">
        <f>O48+1</f>
        <v/>
      </c>
      <c r="Q48" s="125">
        <f>P48+1</f>
        <v/>
      </c>
      <c r="R48" s="125">
        <f>Q48+1</f>
        <v/>
      </c>
      <c r="S48" s="125">
        <f>R48+1</f>
        <v/>
      </c>
      <c r="T48" s="125">
        <f>S48+1</f>
        <v/>
      </c>
      <c r="U48" s="125">
        <f>T48+1</f>
        <v/>
      </c>
      <c r="V48" s="125">
        <f>U48+1</f>
        <v/>
      </c>
      <c r="W48" s="125">
        <f>V48+1</f>
        <v/>
      </c>
      <c r="X48" s="125">
        <f>W48+1</f>
        <v/>
      </c>
      <c r="Y48" s="125">
        <f>X48+1</f>
        <v/>
      </c>
      <c r="Z48" s="6" t="n"/>
      <c r="AA48" s="6" t="n"/>
      <c r="AB48" s="6" t="n"/>
    </row>
    <row r="49" ht="19.5" customHeight="1" s="92">
      <c r="A49" s="124" t="inlineStr">
        <is>
          <t>Остаток обязательства перед инвестором (на начало мес.)</t>
        </is>
      </c>
      <c r="B49" s="126">
        <f>ROUND(B10*Параметры!$B$65,0)</f>
        <v/>
      </c>
      <c r="C49" s="126">
        <f>B49-B43+ROUND(C10*Параметры!$B$65,0)</f>
        <v/>
      </c>
      <c r="D49" s="126">
        <f>C49-C43+ROUND(D10*Параметры!$B$65,0)</f>
        <v/>
      </c>
      <c r="E49" s="126">
        <f>D49-D43+ROUND(E10*Параметры!$B$65,0)</f>
        <v/>
      </c>
      <c r="F49" s="126">
        <f>E49-E43+ROUND(F10*Параметры!$B$65,0)</f>
        <v/>
      </c>
      <c r="G49" s="126">
        <f>F49-F43+ROUND(G10*Параметры!$B$65,0)</f>
        <v/>
      </c>
      <c r="H49" s="126">
        <f>G49-G43+ROUND(H10*Параметры!$B$65,0)</f>
        <v/>
      </c>
      <c r="I49" s="126">
        <f>H49-H43+ROUND(I10*Параметры!$B$65,0)</f>
        <v/>
      </c>
      <c r="J49" s="126">
        <f>I49-I43+ROUND(J10*Параметры!$B$65,0)</f>
        <v/>
      </c>
      <c r="K49" s="126">
        <f>J49-J43+ROUND(K10*Параметры!$B$65,0)</f>
        <v/>
      </c>
      <c r="L49" s="126">
        <f>K49-K43+ROUND(L10*Параметры!$B$65,0)</f>
        <v/>
      </c>
      <c r="M49" s="126">
        <f>L49-L43+ROUND(M10*Параметры!$B$65,0)</f>
        <v/>
      </c>
      <c r="N49" s="126">
        <f>M49-M43+ROUND(N10*Параметры!$B$65,0)</f>
        <v/>
      </c>
      <c r="O49" s="126">
        <f>N49-N43+ROUND(O10*Параметры!$B$65,0)</f>
        <v/>
      </c>
      <c r="P49" s="126">
        <f>O49-O43+ROUND(P10*Параметры!$B$65,0)</f>
        <v/>
      </c>
      <c r="Q49" s="126">
        <f>P49-P43+ROUND(Q10*Параметры!$B$65,0)</f>
        <v/>
      </c>
      <c r="R49" s="126">
        <f>Q49-Q43+ROUND(R10*Параметры!$B$65,0)</f>
        <v/>
      </c>
      <c r="S49" s="126">
        <f>R49-R43+ROUND(S10*Параметры!$B$65,0)</f>
        <v/>
      </c>
      <c r="T49" s="126">
        <f>S49-S43+ROUND(T10*Параметры!$B$65,0)</f>
        <v/>
      </c>
      <c r="U49" s="126">
        <f>T49-T43+ROUND(U10*Параметры!$B$65,0)</f>
        <v/>
      </c>
      <c r="V49" s="126">
        <f>U49-U43+ROUND(V10*Параметры!$B$65,0)</f>
        <v/>
      </c>
      <c r="W49" s="126">
        <f>V49-V43+ROUND(W10*Параметры!$B$65,0)</f>
        <v/>
      </c>
      <c r="X49" s="126">
        <f>W49-W43+ROUND(X10*Параметры!$B$65,0)</f>
        <v/>
      </c>
      <c r="Y49" s="126">
        <f>X49-X43+ROUND(Y10*Параметры!$B$65,0)</f>
        <v/>
      </c>
      <c r="Z49" s="6" t="n"/>
      <c r="AA49" s="6" t="n"/>
      <c r="AB49" s="6" t="n"/>
    </row>
    <row r="50" ht="19.5" customHeight="1" s="92">
      <c r="A50" s="124" t="inlineStr">
        <is>
          <t>Себестоимость проданного товара (справочно)</t>
        </is>
      </c>
      <c r="B50" s="126">
        <f>ROUND(B4*Параметры!$B$5+B7*Параметры!$B$7+B9*Параметры!$B$9,0)</f>
        <v/>
      </c>
      <c r="C50" s="126">
        <f>ROUND(C4*Параметры!$B$5+C7*Параметры!$B$7+C9*Параметры!$B$9,0)</f>
        <v/>
      </c>
      <c r="D50" s="126">
        <f>ROUND(D4*Параметры!$B$5+D7*Параметры!$B$7+D9*Параметры!$B$9,0)</f>
        <v/>
      </c>
      <c r="E50" s="126">
        <f>ROUND(E4*Параметры!$B$5+E7*Параметры!$B$7+E9*Параметры!$B$9,0)</f>
        <v/>
      </c>
      <c r="F50" s="126">
        <f>ROUND(F4*Параметры!$B$5+F7*Параметры!$B$7+F9*Параметры!$B$9,0)</f>
        <v/>
      </c>
      <c r="G50" s="126">
        <f>ROUND(G4*Параметры!$B$5+G7*Параметры!$B$7+G9*Параметры!$B$9,0)</f>
        <v/>
      </c>
      <c r="H50" s="126">
        <f>ROUND(H4*Параметры!$B$5+H7*Параметры!$B$7+H9*Параметры!$B$9,0)</f>
        <v/>
      </c>
      <c r="I50" s="126">
        <f>ROUND(I4*Параметры!$B$5+I7*Параметры!$B$7+I9*Параметры!$B$9,0)</f>
        <v/>
      </c>
      <c r="J50" s="126">
        <f>ROUND(J4*Параметры!$B$5+J7*Параметры!$B$7+J9*Параметры!$B$9,0)</f>
        <v/>
      </c>
      <c r="K50" s="126">
        <f>ROUND(K4*Параметры!$B$5+K7*Параметры!$B$7+K9*Параметры!$B$9,0)</f>
        <v/>
      </c>
      <c r="L50" s="126">
        <f>ROUND(L4*Параметры!$B$5+L7*Параметры!$B$7+L9*Параметры!$B$9,0)</f>
        <v/>
      </c>
      <c r="M50" s="126">
        <f>ROUND(M4*Параметры!$B$5+M7*Параметры!$B$7+M9*Параметры!$B$9,0)</f>
        <v/>
      </c>
      <c r="N50" s="126">
        <f>ROUND(N4*Параметры!$B$5+N7*Параметры!$B$7+N9*Параметры!$B$9,0)</f>
        <v/>
      </c>
      <c r="O50" s="126">
        <f>ROUND(O4*Параметры!$B$5+O7*Параметры!$B$7+O9*Параметры!$B$9,0)</f>
        <v/>
      </c>
      <c r="P50" s="126">
        <f>ROUND(P4*Параметры!$B$5+P7*Параметры!$B$7+P9*Параметры!$B$9,0)</f>
        <v/>
      </c>
      <c r="Q50" s="126">
        <f>ROUND(Q4*Параметры!$B$5+Q7*Параметры!$B$7+Q9*Параметры!$B$9,0)</f>
        <v/>
      </c>
      <c r="R50" s="126">
        <f>ROUND(R4*Параметры!$B$5+R7*Параметры!$B$7+R9*Параметры!$B$9,0)</f>
        <v/>
      </c>
      <c r="S50" s="126">
        <f>ROUND(S4*Параметры!$B$5+S7*Параметры!$B$7+S9*Параметры!$B$9,0)</f>
        <v/>
      </c>
      <c r="T50" s="126">
        <f>ROUND(T4*Параметры!$B$5+T7*Параметры!$B$7+T9*Параметры!$B$9,0)</f>
        <v/>
      </c>
      <c r="U50" s="126">
        <f>ROUND(U4*Параметры!$B$5+U7*Параметры!$B$7+U9*Параметры!$B$9,0)</f>
        <v/>
      </c>
      <c r="V50" s="126">
        <f>ROUND(V4*Параметры!$B$5+V7*Параметры!$B$7+V9*Параметры!$B$9,0)</f>
        <v/>
      </c>
      <c r="W50" s="126">
        <f>ROUND(W4*Параметры!$B$5+W7*Параметры!$B$7+W9*Параметры!$B$9,0)</f>
        <v/>
      </c>
      <c r="X50" s="126">
        <f>ROUND(X4*Параметры!$B$5+X7*Параметры!$B$7+X9*Параметры!$B$9,0)</f>
        <v/>
      </c>
      <c r="Y50" s="126">
        <f>ROUND(Y4*Параметры!$B$5+Y7*Параметры!$B$7+Y9*Параметры!$B$9,0)</f>
        <v/>
      </c>
      <c r="Z50" s="126">
        <f>SUM(B50:Y50)</f>
        <v/>
      </c>
      <c r="AA50" s="6" t="n"/>
      <c r="AB50" s="6" t="n"/>
    </row>
    <row r="51" ht="19.5" customHeight="1" s="92">
      <c r="A51" s="124" t="inlineStr">
        <is>
          <t>Валовая прибыль</t>
        </is>
      </c>
      <c r="B51" s="126">
        <f>(B3+B6+B9)-B50</f>
        <v/>
      </c>
      <c r="C51" s="126">
        <f>(C3+C6+C9)-C50</f>
        <v/>
      </c>
      <c r="D51" s="126">
        <f>(D3+D6+D9)-D50</f>
        <v/>
      </c>
      <c r="E51" s="126">
        <f>(E3+E6+E9)-E50</f>
        <v/>
      </c>
      <c r="F51" s="126">
        <f>(F3+F6+F9)-F50</f>
        <v/>
      </c>
      <c r="G51" s="126">
        <f>(G3+G6+G9)-G50</f>
        <v/>
      </c>
      <c r="H51" s="126">
        <f>(H3+H6+H9)-H50</f>
        <v/>
      </c>
      <c r="I51" s="126">
        <f>(I3+I6+I9)-I50</f>
        <v/>
      </c>
      <c r="J51" s="126">
        <f>(J3+J6+J9)-J50</f>
        <v/>
      </c>
      <c r="K51" s="126">
        <f>(K3+K6+K9)-K50</f>
        <v/>
      </c>
      <c r="L51" s="126">
        <f>(L3+L6+L9)-L50</f>
        <v/>
      </c>
      <c r="M51" s="126">
        <f>(M3+M6+M9)-M50</f>
        <v/>
      </c>
      <c r="N51" s="126">
        <f>(N3+N6+N9)-N50</f>
        <v/>
      </c>
      <c r="O51" s="126">
        <f>(O3+O6+O9)-O50</f>
        <v/>
      </c>
      <c r="P51" s="126">
        <f>(P3+P6+P9)-P50</f>
        <v/>
      </c>
      <c r="Q51" s="126">
        <f>(Q3+Q6+Q9)-Q50</f>
        <v/>
      </c>
      <c r="R51" s="126">
        <f>(R3+R6+R9)-R50</f>
        <v/>
      </c>
      <c r="S51" s="126">
        <f>(S3+S6+S9)-S50</f>
        <v/>
      </c>
      <c r="T51" s="126">
        <f>(T3+T6+T9)-T50</f>
        <v/>
      </c>
      <c r="U51" s="126">
        <f>(U3+U6+U9)-U50</f>
        <v/>
      </c>
      <c r="V51" s="126">
        <f>(V3+V6+V9)-V50</f>
        <v/>
      </c>
      <c r="W51" s="126">
        <f>(W3+W6+W9)-W50</f>
        <v/>
      </c>
      <c r="X51" s="126">
        <f>(X3+X6+X9)-X50</f>
        <v/>
      </c>
      <c r="Y51" s="126">
        <f>(Y3+Y6+Y9)-Y50</f>
        <v/>
      </c>
      <c r="Z51" s="126">
        <f>SUM(B51:Y51)</f>
        <v/>
      </c>
      <c r="AA51" s="6" t="n"/>
      <c r="AB51" s="6" t="n"/>
    </row>
    <row r="52" ht="19.5" customHeight="1" s="92">
      <c r="A52" s="124" t="inlineStr">
        <is>
          <t>Валовая маржа, %</t>
        </is>
      </c>
      <c r="B52" s="127">
        <f>IF((B3+B6+B9)=0,0,B51/(B3+B6+B9))</f>
        <v/>
      </c>
      <c r="C52" s="127">
        <f>IF((C3+C6+C9)=0,0,C51/(C3+C6+C9))</f>
        <v/>
      </c>
      <c r="D52" s="127">
        <f>IF((D3+D6+D9)=0,0,D51/(D3+D6+D9))</f>
        <v/>
      </c>
      <c r="E52" s="127">
        <f>IF((E3+E6+E9)=0,0,E51/(E3+E6+E9))</f>
        <v/>
      </c>
      <c r="F52" s="127">
        <f>IF((F3+F6+F9)=0,0,F51/(F3+F6+F9))</f>
        <v/>
      </c>
      <c r="G52" s="127">
        <f>IF((G3+G6+G9)=0,0,G51/(G3+G6+G9))</f>
        <v/>
      </c>
      <c r="H52" s="127">
        <f>IF((H3+H6+H9)=0,0,H51/(H3+H6+H9))</f>
        <v/>
      </c>
      <c r="I52" s="127">
        <f>IF((I3+I6+I9)=0,0,I51/(I3+I6+I9))</f>
        <v/>
      </c>
      <c r="J52" s="127">
        <f>IF((J3+J6+J9)=0,0,J51/(J3+J6+J9))</f>
        <v/>
      </c>
      <c r="K52" s="127">
        <f>IF((K3+K6+K9)=0,0,K51/(K3+K6+K9))</f>
        <v/>
      </c>
      <c r="L52" s="127">
        <f>IF((L3+L6+L9)=0,0,L51/(L3+L6+L9))</f>
        <v/>
      </c>
      <c r="M52" s="127">
        <f>IF((M3+M6+M9)=0,0,M51/(M3+M6+M9))</f>
        <v/>
      </c>
      <c r="N52" s="127">
        <f>IF((N3+N6+N9)=0,0,N51/(N3+N6+N9))</f>
        <v/>
      </c>
      <c r="O52" s="127">
        <f>IF((O3+O6+O9)=0,0,O51/(O3+O6+O9))</f>
        <v/>
      </c>
      <c r="P52" s="127">
        <f>IF((P3+P6+P9)=0,0,P51/(P3+P6+P9))</f>
        <v/>
      </c>
      <c r="Q52" s="127">
        <f>IF((Q3+Q6+Q9)=0,0,Q51/(Q3+Q6+Q9))</f>
        <v/>
      </c>
      <c r="R52" s="127">
        <f>IF((R3+R6+R9)=0,0,R51/(R3+R6+R9))</f>
        <v/>
      </c>
      <c r="S52" s="127">
        <f>IF((S3+S6+S9)=0,0,S51/(S3+S6+S9))</f>
        <v/>
      </c>
      <c r="T52" s="127">
        <f>IF((T3+T6+T9)=0,0,T51/(T3+T6+T9))</f>
        <v/>
      </c>
      <c r="U52" s="127">
        <f>IF((U3+U6+U9)=0,0,U51/(U3+U6+U9))</f>
        <v/>
      </c>
      <c r="V52" s="127">
        <f>IF((V3+V6+V9)=0,0,V51/(V3+V6+V9))</f>
        <v/>
      </c>
      <c r="W52" s="127">
        <f>IF((W3+W6+W9)=0,0,W51/(W3+W6+W9))</f>
        <v/>
      </c>
      <c r="X52" s="127">
        <f>IF((X3+X6+X9)=0,0,X51/(X3+X6+X9))</f>
        <v/>
      </c>
      <c r="Y52" s="127">
        <f>IF((Y3+Y6+Y9)=0,0,Y51/(Y3+Y6+Y9))</f>
        <v/>
      </c>
      <c r="Z52" s="127">
        <f>IF((Z3+Z6+Z9)=0,0,Z51/(Z3+Z6+Z9))</f>
        <v/>
      </c>
      <c r="AA52" s="6" t="n"/>
      <c r="AB52" s="6" t="n"/>
    </row>
    <row r="53" ht="19.5" customHeight="1" s="92">
      <c r="A53" s="124" t="inlineStr">
        <is>
          <t>Операционный ден. поток (без инвестиций и возврата)</t>
        </is>
      </c>
      <c r="B53" s="126">
        <f>(B3+B6+B9)-(B17+B22+B26+B34+B38+B42)</f>
        <v/>
      </c>
      <c r="C53" s="126">
        <f>(C3+C6+C9)-(C17+C22+C26+C34+C38+C42)</f>
        <v/>
      </c>
      <c r="D53" s="126">
        <f>(D3+D6+D9)-(D17+D22+D26+D34+D38+D42)</f>
        <v/>
      </c>
      <c r="E53" s="126">
        <f>(E3+E6+E9)-(E17+E22+E26+E34+E38+E42)</f>
        <v/>
      </c>
      <c r="F53" s="126">
        <f>(F3+F6+F9)-(F17+F22+F26+F34+F38+F42)</f>
        <v/>
      </c>
      <c r="G53" s="126">
        <f>(G3+G6+G9)-(G17+G22+G26+G34+G38+G42)</f>
        <v/>
      </c>
      <c r="H53" s="126">
        <f>(H3+H6+H9)-(H17+H22+H26+H34+H38+H42)</f>
        <v/>
      </c>
      <c r="I53" s="126">
        <f>(I3+I6+I9)-(I17+I22+I26+I34+I38+I42)</f>
        <v/>
      </c>
      <c r="J53" s="126">
        <f>(J3+J6+J9)-(J17+J22+J26+J34+J38+J42)</f>
        <v/>
      </c>
      <c r="K53" s="126">
        <f>(K3+K6+K9)-(K17+K22+K26+K34+K38+K42)</f>
        <v/>
      </c>
      <c r="L53" s="126">
        <f>(L3+L6+L9)-(L17+L22+L26+L34+L38+L42)</f>
        <v/>
      </c>
      <c r="M53" s="126">
        <f>(M3+M6+M9)-(M17+M22+M26+M34+M38+M42)</f>
        <v/>
      </c>
      <c r="N53" s="126">
        <f>(N3+N6+N9)-(N17+N22+N26+N34+N38+N42)</f>
        <v/>
      </c>
      <c r="O53" s="126">
        <f>(O3+O6+O9)-(O17+O22+O26+O34+O38+O42)</f>
        <v/>
      </c>
      <c r="P53" s="126">
        <f>(P3+P6+P9)-(P17+P22+P26+P34+P38+P42)</f>
        <v/>
      </c>
      <c r="Q53" s="126">
        <f>(Q3+Q6+Q9)-(Q17+Q22+Q26+Q34+Q38+Q42)</f>
        <v/>
      </c>
      <c r="R53" s="126">
        <f>(R3+R6+R9)-(R17+R22+R26+R34+R38+R42)</f>
        <v/>
      </c>
      <c r="S53" s="126">
        <f>(S3+S6+S9)-(S17+S22+S26+S34+S38+S42)</f>
        <v/>
      </c>
      <c r="T53" s="126">
        <f>(T3+T6+T9)-(T17+T22+T26+T34+T38+T42)</f>
        <v/>
      </c>
      <c r="U53" s="126">
        <f>(U3+U6+U9)-(U17+U22+U26+U34+U38+U42)</f>
        <v/>
      </c>
      <c r="V53" s="126">
        <f>(V3+V6+V9)-(V17+V22+V26+V34+V38+V42)</f>
        <v/>
      </c>
      <c r="W53" s="126">
        <f>(W3+W6+W9)-(W17+W22+W26+W34+W38+W42)</f>
        <v/>
      </c>
      <c r="X53" s="126">
        <f>(X3+X6+X9)-(X17+X22+X26+X34+X38+X42)</f>
        <v/>
      </c>
      <c r="Y53" s="126">
        <f>(Y3+Y6+Y9)-(Y17+Y22+Y26+Y34+Y38+Y42)</f>
        <v/>
      </c>
      <c r="Z53" s="126">
        <f>SUM(B53:Y53)</f>
        <v/>
      </c>
      <c r="AA53" s="6" t="n"/>
      <c r="AB53" s="6" t="n"/>
    </row>
    <row r="54" ht="19.5" customHeight="1" s="92">
      <c r="A54" s="124" t="inlineStr">
        <is>
          <t>Накопленный операционный ден. поток</t>
        </is>
      </c>
      <c r="B54" s="126">
        <f>B53</f>
        <v/>
      </c>
      <c r="C54" s="126">
        <f>B54+C53</f>
        <v/>
      </c>
      <c r="D54" s="126">
        <f>C54+D53</f>
        <v/>
      </c>
      <c r="E54" s="126">
        <f>D54+E53</f>
        <v/>
      </c>
      <c r="F54" s="126">
        <f>E54+F53</f>
        <v/>
      </c>
      <c r="G54" s="126">
        <f>F54+G53</f>
        <v/>
      </c>
      <c r="H54" s="126">
        <f>G54+H53</f>
        <v/>
      </c>
      <c r="I54" s="126">
        <f>H54+I53</f>
        <v/>
      </c>
      <c r="J54" s="126">
        <f>I54+J53</f>
        <v/>
      </c>
      <c r="K54" s="126">
        <f>J54+K53</f>
        <v/>
      </c>
      <c r="L54" s="126">
        <f>K54+L53</f>
        <v/>
      </c>
      <c r="M54" s="126">
        <f>L54+M53</f>
        <v/>
      </c>
      <c r="N54" s="126">
        <f>M54+N53</f>
        <v/>
      </c>
      <c r="O54" s="126">
        <f>N54+O53</f>
        <v/>
      </c>
      <c r="P54" s="126">
        <f>O54+P53</f>
        <v/>
      </c>
      <c r="Q54" s="126">
        <f>P54+Q53</f>
        <v/>
      </c>
      <c r="R54" s="126">
        <f>Q54+R53</f>
        <v/>
      </c>
      <c r="S54" s="126">
        <f>R54+S53</f>
        <v/>
      </c>
      <c r="T54" s="126">
        <f>S54+T53</f>
        <v/>
      </c>
      <c r="U54" s="126">
        <f>T54+U53</f>
        <v/>
      </c>
      <c r="V54" s="126">
        <f>U54+V53</f>
        <v/>
      </c>
      <c r="W54" s="126">
        <f>V54+W53</f>
        <v/>
      </c>
      <c r="X54" s="126">
        <f>W54+X53</f>
        <v/>
      </c>
      <c r="Y54" s="126">
        <f>X54+Y53</f>
        <v/>
      </c>
      <c r="Z54" s="6" t="n"/>
      <c r="AA54" s="6" t="n"/>
      <c r="AB54" s="6" t="n"/>
    </row>
    <row r="55" ht="19.5" customHeight="1" s="92">
      <c r="A55" s="124" t="inlineStr">
        <is>
          <t>Денежный поток инвестора (−транш / +возврат)</t>
        </is>
      </c>
      <c r="B55" s="126">
        <f>B43-B10</f>
        <v/>
      </c>
      <c r="C55" s="126">
        <f>C43-C10</f>
        <v/>
      </c>
      <c r="D55" s="126">
        <f>D43-D10</f>
        <v/>
      </c>
      <c r="E55" s="126">
        <f>E43-E10</f>
        <v/>
      </c>
      <c r="F55" s="126">
        <f>F43-F10</f>
        <v/>
      </c>
      <c r="G55" s="126">
        <f>G43-G10</f>
        <v/>
      </c>
      <c r="H55" s="126">
        <f>H43-H10</f>
        <v/>
      </c>
      <c r="I55" s="126">
        <f>I43-I10</f>
        <v/>
      </c>
      <c r="J55" s="126">
        <f>J43-J10</f>
        <v/>
      </c>
      <c r="K55" s="126">
        <f>K43-K10</f>
        <v/>
      </c>
      <c r="L55" s="126">
        <f>L43-L10</f>
        <v/>
      </c>
      <c r="M55" s="126">
        <f>M43-M10</f>
        <v/>
      </c>
      <c r="N55" s="126">
        <f>N43-N10</f>
        <v/>
      </c>
      <c r="O55" s="126">
        <f>O43-O10</f>
        <v/>
      </c>
      <c r="P55" s="126">
        <f>P43-P10</f>
        <v/>
      </c>
      <c r="Q55" s="126">
        <f>Q43-Q10</f>
        <v/>
      </c>
      <c r="R55" s="126">
        <f>R43-R10</f>
        <v/>
      </c>
      <c r="S55" s="126">
        <f>S43-S10</f>
        <v/>
      </c>
      <c r="T55" s="126">
        <f>T43-T10</f>
        <v/>
      </c>
      <c r="U55" s="126">
        <f>U43-U10</f>
        <v/>
      </c>
      <c r="V55" s="126">
        <f>V43-V10</f>
        <v/>
      </c>
      <c r="W55" s="126">
        <f>W43-W10</f>
        <v/>
      </c>
      <c r="X55" s="126">
        <f>X43-X10</f>
        <v/>
      </c>
      <c r="Y55" s="126">
        <f>Y43-Y10</f>
        <v/>
      </c>
      <c r="Z55" s="126">
        <f>SUM(B55:Y55)</f>
        <v/>
      </c>
      <c r="AA55" s="6" t="n"/>
      <c r="AB55" s="6" t="n"/>
    </row>
    <row r="56" ht="19.5" customHeight="1" s="92">
      <c r="A56" s="124" t="inlineStr">
        <is>
          <t>флаг: месяц выхода в операционный плюс</t>
        </is>
      </c>
      <c r="B56" s="125">
        <f>IF(B53&gt;0,B$48,9999)</f>
        <v/>
      </c>
      <c r="C56" s="125">
        <f>IF(C53&gt;0,C$48,9999)</f>
        <v/>
      </c>
      <c r="D56" s="125">
        <f>IF(D53&gt;0,D$48,9999)</f>
        <v/>
      </c>
      <c r="E56" s="125">
        <f>IF(E53&gt;0,E$48,9999)</f>
        <v/>
      </c>
      <c r="F56" s="125">
        <f>IF(F53&gt;0,F$48,9999)</f>
        <v/>
      </c>
      <c r="G56" s="125">
        <f>IF(G53&gt;0,G$48,9999)</f>
        <v/>
      </c>
      <c r="H56" s="125">
        <f>IF(H53&gt;0,H$48,9999)</f>
        <v/>
      </c>
      <c r="I56" s="125">
        <f>IF(I53&gt;0,I$48,9999)</f>
        <v/>
      </c>
      <c r="J56" s="125">
        <f>IF(J53&gt;0,J$48,9999)</f>
        <v/>
      </c>
      <c r="K56" s="125">
        <f>IF(K53&gt;0,K$48,9999)</f>
        <v/>
      </c>
      <c r="L56" s="125">
        <f>IF(L53&gt;0,L$48,9999)</f>
        <v/>
      </c>
      <c r="M56" s="125">
        <f>IF(M53&gt;0,M$48,9999)</f>
        <v/>
      </c>
      <c r="N56" s="125">
        <f>IF(N53&gt;0,N$48,9999)</f>
        <v/>
      </c>
      <c r="O56" s="125">
        <f>IF(O53&gt;0,O$48,9999)</f>
        <v/>
      </c>
      <c r="P56" s="125">
        <f>IF(P53&gt;0,P$48,9999)</f>
        <v/>
      </c>
      <c r="Q56" s="125">
        <f>IF(Q53&gt;0,Q$48,9999)</f>
        <v/>
      </c>
      <c r="R56" s="125">
        <f>IF(R53&gt;0,R$48,9999)</f>
        <v/>
      </c>
      <c r="S56" s="125">
        <f>IF(S53&gt;0,S$48,9999)</f>
        <v/>
      </c>
      <c r="T56" s="125">
        <f>IF(T53&gt;0,T$48,9999)</f>
        <v/>
      </c>
      <c r="U56" s="125">
        <f>IF(U53&gt;0,U$48,9999)</f>
        <v/>
      </c>
      <c r="V56" s="125">
        <f>IF(V53&gt;0,V$48,9999)</f>
        <v/>
      </c>
      <c r="W56" s="125">
        <f>IF(W53&gt;0,W$48,9999)</f>
        <v/>
      </c>
      <c r="X56" s="125">
        <f>IF(X53&gt;0,X$48,9999)</f>
        <v/>
      </c>
      <c r="Y56" s="125">
        <f>IF(Y53&gt;0,Y$48,9999)</f>
        <v/>
      </c>
      <c r="Z56" s="6" t="n"/>
      <c r="AA56" s="6" t="n"/>
      <c r="AB56" s="6" t="n"/>
    </row>
    <row r="57" ht="19.5" customHeight="1" s="92">
      <c r="A57" s="124" t="inlineStr">
        <is>
          <t>флаг: месяц окупаемости проекта</t>
        </is>
      </c>
      <c r="B57" s="125">
        <f>IF(B54&gt;0,B$48,9999)</f>
        <v/>
      </c>
      <c r="C57" s="125">
        <f>IF(C54&gt;0,C$48,9999)</f>
        <v/>
      </c>
      <c r="D57" s="125">
        <f>IF(D54&gt;0,D$48,9999)</f>
        <v/>
      </c>
      <c r="E57" s="125">
        <f>IF(E54&gt;0,E$48,9999)</f>
        <v/>
      </c>
      <c r="F57" s="125">
        <f>IF(F54&gt;0,F$48,9999)</f>
        <v/>
      </c>
      <c r="G57" s="125">
        <f>IF(G54&gt;0,G$48,9999)</f>
        <v/>
      </c>
      <c r="H57" s="125">
        <f>IF(H54&gt;0,H$48,9999)</f>
        <v/>
      </c>
      <c r="I57" s="125">
        <f>IF(I54&gt;0,I$48,9999)</f>
        <v/>
      </c>
      <c r="J57" s="125">
        <f>IF(J54&gt;0,J$48,9999)</f>
        <v/>
      </c>
      <c r="K57" s="125">
        <f>IF(K54&gt;0,K$48,9999)</f>
        <v/>
      </c>
      <c r="L57" s="125">
        <f>IF(L54&gt;0,L$48,9999)</f>
        <v/>
      </c>
      <c r="M57" s="125">
        <f>IF(M54&gt;0,M$48,9999)</f>
        <v/>
      </c>
      <c r="N57" s="125">
        <f>IF(N54&gt;0,N$48,9999)</f>
        <v/>
      </c>
      <c r="O57" s="125">
        <f>IF(O54&gt;0,O$48,9999)</f>
        <v/>
      </c>
      <c r="P57" s="125">
        <f>IF(P54&gt;0,P$48,9999)</f>
        <v/>
      </c>
      <c r="Q57" s="125">
        <f>IF(Q54&gt;0,Q$48,9999)</f>
        <v/>
      </c>
      <c r="R57" s="125">
        <f>IF(R54&gt;0,R$48,9999)</f>
        <v/>
      </c>
      <c r="S57" s="125">
        <f>IF(S54&gt;0,S$48,9999)</f>
        <v/>
      </c>
      <c r="T57" s="125">
        <f>IF(T54&gt;0,T$48,9999)</f>
        <v/>
      </c>
      <c r="U57" s="125">
        <f>IF(U54&gt;0,U$48,9999)</f>
        <v/>
      </c>
      <c r="V57" s="125">
        <f>IF(V54&gt;0,V$48,9999)</f>
        <v/>
      </c>
      <c r="W57" s="125">
        <f>IF(W54&gt;0,W$48,9999)</f>
        <v/>
      </c>
      <c r="X57" s="125">
        <f>IF(X54&gt;0,X$48,9999)</f>
        <v/>
      </c>
      <c r="Y57" s="125">
        <f>IF(Y54&gt;0,Y$48,9999)</f>
        <v/>
      </c>
      <c r="Z57" s="6" t="n"/>
      <c r="AA57" s="6" t="n"/>
      <c r="AB57" s="6" t="n"/>
    </row>
    <row r="58" ht="19.5" customHeight="1" s="92">
      <c r="A58" s="124" t="inlineStr">
        <is>
          <t>флаг: месяц полного возврата инвестору</t>
        </is>
      </c>
      <c r="B58" s="125">
        <f>IF(AND(B49&gt;0,B49-B43&lt;=0.5),B$48,9999)</f>
        <v/>
      </c>
      <c r="C58" s="125">
        <f>IF(AND(C49&gt;0,C49-C43&lt;=0.5),C$48,9999)</f>
        <v/>
      </c>
      <c r="D58" s="125">
        <f>IF(AND(D49&gt;0,D49-D43&lt;=0.5),D$48,9999)</f>
        <v/>
      </c>
      <c r="E58" s="125">
        <f>IF(AND(E49&gt;0,E49-E43&lt;=0.5),E$48,9999)</f>
        <v/>
      </c>
      <c r="F58" s="125">
        <f>IF(AND(F49&gt;0,F49-F43&lt;=0.5),F$48,9999)</f>
        <v/>
      </c>
      <c r="G58" s="125">
        <f>IF(AND(G49&gt;0,G49-G43&lt;=0.5),G$48,9999)</f>
        <v/>
      </c>
      <c r="H58" s="125">
        <f>IF(AND(H49&gt;0,H49-H43&lt;=0.5),H$48,9999)</f>
        <v/>
      </c>
      <c r="I58" s="125">
        <f>IF(AND(I49&gt;0,I49-I43&lt;=0.5),I$48,9999)</f>
        <v/>
      </c>
      <c r="J58" s="125">
        <f>IF(AND(J49&gt;0,J49-J43&lt;=0.5),J$48,9999)</f>
        <v/>
      </c>
      <c r="K58" s="125">
        <f>IF(AND(K49&gt;0,K49-K43&lt;=0.5),K$48,9999)</f>
        <v/>
      </c>
      <c r="L58" s="125">
        <f>IF(AND(L49&gt;0,L49-L43&lt;=0.5),L$48,9999)</f>
        <v/>
      </c>
      <c r="M58" s="125">
        <f>IF(AND(M49&gt;0,M49-M43&lt;=0.5),M$48,9999)</f>
        <v/>
      </c>
      <c r="N58" s="125">
        <f>IF(AND(N49&gt;0,N49-N43&lt;=0.5),N$48,9999)</f>
        <v/>
      </c>
      <c r="O58" s="125">
        <f>IF(AND(O49&gt;0,O49-O43&lt;=0.5),O$48,9999)</f>
        <v/>
      </c>
      <c r="P58" s="125">
        <f>IF(AND(P49&gt;0,P49-P43&lt;=0.5),P$48,9999)</f>
        <v/>
      </c>
      <c r="Q58" s="125">
        <f>IF(AND(Q49&gt;0,Q49-Q43&lt;=0.5),Q$48,9999)</f>
        <v/>
      </c>
      <c r="R58" s="125">
        <f>IF(AND(R49&gt;0,R49-R43&lt;=0.5),R$48,9999)</f>
        <v/>
      </c>
      <c r="S58" s="125">
        <f>IF(AND(S49&gt;0,S49-S43&lt;=0.5),S$48,9999)</f>
        <v/>
      </c>
      <c r="T58" s="125">
        <f>IF(AND(T49&gt;0,T49-T43&lt;=0.5),T$48,9999)</f>
        <v/>
      </c>
      <c r="U58" s="125">
        <f>IF(AND(U49&gt;0,U49-U43&lt;=0.5),U$48,9999)</f>
        <v/>
      </c>
      <c r="V58" s="125">
        <f>IF(AND(V49&gt;0,V49-V43&lt;=0.5),V$48,9999)</f>
        <v/>
      </c>
      <c r="W58" s="125">
        <f>IF(AND(W49&gt;0,W49-W43&lt;=0.5),W$48,9999)</f>
        <v/>
      </c>
      <c r="X58" s="125">
        <f>IF(AND(X49&gt;0,X49-X43&lt;=0.5),X$48,9999)</f>
        <v/>
      </c>
      <c r="Y58" s="125">
        <f>IF(AND(Y49&gt;0,Y49-Y43&lt;=0.5),Y$48,9999)</f>
        <v/>
      </c>
      <c r="Z58" s="6" t="n"/>
      <c r="AA58" s="6" t="n"/>
      <c r="AB58" s="6" t="n"/>
    </row>
    <row r="59" ht="19.5" customHeight="1" s="9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</row>
    <row r="60" ht="19.5" customHeight="1" s="92">
      <c r="A60" s="128" t="inlineStr">
        <is>
          <t>КЛЮЧЕВЫЕ ПОКАЗАТЕЛИ ДЛЯ ИНВЕСТОРА</t>
        </is>
      </c>
      <c r="B60" s="128" t="n"/>
      <c r="C60" s="128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</row>
    <row r="61" ht="19.5" customHeight="1" s="92">
      <c r="A61" s="6" t="inlineStr">
        <is>
          <t>Пиковая потребность в деньгах (макс. кассовый разрыв)</t>
        </is>
      </c>
      <c r="B61" s="129">
        <f>MAX(0,-MIN(B54:Y54))</f>
        <v/>
      </c>
      <c r="C61" s="124" t="inlineStr">
        <is>
          <t>считается моделью автоматически</t>
        </is>
      </c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</row>
    <row r="62" ht="19.5" customHeight="1" s="92">
      <c r="A62" s="6" t="inlineStr">
        <is>
          <t>Требуемые инвестиции (с запасом прочности)</t>
        </is>
      </c>
      <c r="B62" s="129">
        <f>ROUNDUP(B61*(1+Параметры!$B$62)/100000,0)*100000</f>
        <v/>
      </c>
      <c r="C62" s="124" t="inlineStr">
        <is>
          <t>именно эту сумму просим у инвестора</t>
        </is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</row>
    <row r="63" ht="19.5" customHeight="1" s="92">
      <c r="A63" s="6" t="inlineStr">
        <is>
          <t>Транш 1 (месяц 1)</t>
        </is>
      </c>
      <c r="B63" s="129">
        <f>B10</f>
        <v/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</row>
    <row r="64" ht="19.5" customHeight="1" s="92">
      <c r="A64" s="6" t="inlineStr">
        <is>
          <t>Транш 2</t>
        </is>
      </c>
      <c r="B64" s="129">
        <f>$Z$10-B10</f>
        <v/>
      </c>
      <c r="C64" s="124" t="inlineStr">
        <is>
          <t>по достижении KPI</t>
        </is>
      </c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</row>
    <row r="65" ht="19.5" customHeight="1" s="92">
      <c r="A65" s="6" t="inlineStr">
        <is>
          <t>Привлечено инвестиций всего</t>
        </is>
      </c>
      <c r="B65" s="129">
        <f>$Z$10</f>
        <v/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</row>
    <row r="66" ht="19.5" customHeight="1" s="92">
      <c r="A66" s="6" t="inlineStr">
        <is>
          <t>Обязательство перед инвестором (тело × коэффициент)</t>
        </is>
      </c>
      <c r="B66" s="129">
        <f>ROUND($Z$10*Параметры!$B$65,0)</f>
        <v/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</row>
    <row r="67" ht="19.5" customHeight="1" s="92">
      <c r="A67" s="6" t="inlineStr">
        <is>
          <t>Возвращено инвестору за 24 месяца</t>
        </is>
      </c>
      <c r="B67" s="129">
        <f>$Z$43</f>
        <v/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</row>
    <row r="68" ht="19.5" customHeight="1" s="92">
      <c r="A68" s="6" t="inlineStr">
        <is>
          <t>Остаток обязательства на конец горизонта</t>
        </is>
      </c>
      <c r="B68" s="129">
        <f>$AA$43</f>
        <v/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</row>
    <row r="69" ht="19.5" customHeight="1" s="92">
      <c r="A69" s="6" t="inlineStr">
        <is>
          <t>Доход инвестора за 24 месяца</t>
        </is>
      </c>
      <c r="B69" s="129">
        <f>$Z$43-$Z$10</f>
        <v/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</row>
    <row r="70" ht="19.5" customHeight="1" s="92">
      <c r="A70" s="6" t="inlineStr">
        <is>
          <t>ROI инвестора за 24 месяца</t>
        </is>
      </c>
      <c r="B70" s="130">
        <f>IF($Z$10=0,0,($Z$43-$Z$10)/$Z$10)</f>
        <v/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</row>
    <row r="71" ht="19.5" customHeight="1" s="92">
      <c r="A71" s="6" t="inlineStr">
        <is>
          <t>IRR инвестора, % годовых</t>
        </is>
      </c>
      <c r="B71" s="130">
        <f>IFERROR((1+IRR(B55:Y55))^12-1,"н/д")</f>
        <v/>
      </c>
      <c r="C71" s="124" t="inlineStr">
        <is>
          <t>по потоку «транш → возвраты»</t>
        </is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</row>
    <row r="72" ht="19.5" customHeight="1" s="92">
      <c r="A72" s="6" t="inlineStr">
        <is>
          <t>IRR проекта, % годовых</t>
        </is>
      </c>
      <c r="B72" s="130">
        <f>IFERROR((1+IRR(B53:Y53))^12-1,"н/д")</f>
        <v/>
      </c>
      <c r="C72" s="124" t="inlineStr">
        <is>
          <t>по операционному потоку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</row>
    <row r="73" ht="19.5" customHeight="1" s="92">
      <c r="A73" s="6" t="inlineStr">
        <is>
          <t>NPV проекта</t>
        </is>
      </c>
      <c r="B73" s="129">
        <f>ROUND(NPV(Параметры!$B$68/12,B53:Y53),0)</f>
        <v/>
      </c>
      <c r="C73" s="124" t="inlineStr">
        <is>
          <t>ставка дисконтирования — на листе Параметры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</row>
    <row r="74" ht="19.5" customHeight="1" s="92">
      <c r="A74" s="6" t="inlineStr">
        <is>
          <t>Месяц выхода в операционный плюс</t>
        </is>
      </c>
      <c r="B74" s="131">
        <f>IF(MIN(B56:Y56)=9999,"за горизонтом",MIN(B56:Y56))</f>
        <v/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</row>
    <row r="75" ht="19.5" customHeight="1" s="92">
      <c r="A75" s="6" t="inlineStr">
        <is>
          <t>Месяц окупаемости проекта (накопленный поток &gt; 0)</t>
        </is>
      </c>
      <c r="B75" s="131">
        <f>IF(MIN(B57:Y57)=9999,"за горизонтом",MIN(B57:Y57))</f>
        <v/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</row>
    <row r="76" ht="19.5" customHeight="1" s="92">
      <c r="A76" s="6" t="inlineStr">
        <is>
          <t>Месяц полного возврата инвестору</t>
        </is>
      </c>
      <c r="B76" s="131">
        <f>IF(MIN(B58:Y58)=9999,"за горизонтом",MIN(B58:Y58))</f>
        <v/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</row>
    <row r="77" ht="19.5" customHeight="1" s="92">
      <c r="A77" s="6" t="inlineStr">
        <is>
          <t>Выручка за 24 месяца</t>
        </is>
      </c>
      <c r="B77" s="129">
        <f>$Z$3+$Z$6+$Z$9</f>
        <v/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</row>
    <row r="78" ht="19.5" customHeight="1" s="92">
      <c r="A78" s="6" t="inlineStr">
        <is>
          <t>Выручка в 24-м месяце (run-rate)</t>
        </is>
      </c>
      <c r="B78" s="129">
        <f>$Y$3+$Y$6+$Y$9</f>
        <v/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</row>
    <row r="79" ht="19.5" customHeight="1" s="92">
      <c r="A79" s="6" t="inlineStr">
        <is>
          <t>Средняя валовая маржа</t>
        </is>
      </c>
      <c r="B79" s="130">
        <f>IF(B77=0,0,($Z$51)/B77)</f>
        <v/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</row>
    <row r="80" ht="19.5" customHeight="1" s="92">
      <c r="A80" s="6" t="inlineStr">
        <is>
          <t>Операционная прибыль за 24 месяца</t>
        </is>
      </c>
      <c r="B80" s="129">
        <f>$Z$53</f>
        <v/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</row>
    <row r="81" ht="19.5" customHeight="1" s="92">
      <c r="A81" s="6" t="inlineStr">
        <is>
          <t>Рентабельность по операционному потоку</t>
        </is>
      </c>
      <c r="B81" s="130">
        <f>IF(B77=0,0,B80/B77)</f>
        <v/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</row>
    <row r="82" ht="19.5" customHeight="1" s="92">
      <c r="A82" s="6" t="inlineStr">
        <is>
          <t>Минимальный остаток на счёте за горизонт</t>
        </is>
      </c>
      <c r="B82" s="129">
        <f>MIN(B46:Y46)</f>
        <v/>
      </c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</row>
    <row r="83" ht="19.5" customHeight="1" s="92">
      <c r="A83" s="6" t="inlineStr">
        <is>
          <t>Проверка достаточности денег</t>
        </is>
      </c>
      <c r="B83" s="132">
        <f>IF(B82&gt;=0,"ОК: кассовых разрывов нет","ДЕФИЦИТ: поднимите запас прочности")</f>
        <v/>
      </c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</row>
    <row r="84" ht="19.5" customHeight="1" s="92">
      <c r="A84" s="6" t="inlineStr">
        <is>
          <t>Оценка компании post-money (по доле инвестора)</t>
        </is>
      </c>
      <c r="B84" s="129">
        <f>IF(Параметры!$B$69=0,0,ROUND($Z$10/Параметры!$B$69,0))</f>
        <v/>
      </c>
      <c r="C84" s="124" t="inlineStr">
        <is>
          <t>альтернатива долговому возврату</t>
        </is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</row>
    <row r="85" ht="19.5" customHeight="1" s="9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</row>
    <row r="86" ht="19.5" customHeight="1" s="9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</row>
    <row r="87" ht="19.5" customHeight="1" s="9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</row>
    <row r="88" ht="19.5" customHeight="1" s="9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</row>
    <row r="89" ht="19.5" customHeight="1" s="9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</row>
    <row r="90" ht="19.5" customHeight="1" s="9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</row>
    <row r="91" ht="19.5" customHeight="1" s="9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</row>
    <row r="92" ht="19.5" customHeight="1" s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</row>
    <row r="93" ht="19.5" customHeight="1" s="9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</row>
    <row r="94" ht="19.5" customHeight="1" s="9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</row>
    <row r="95" ht="19.5" customHeight="1" s="9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</row>
    <row r="96" ht="19.5" customHeight="1" s="9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</row>
    <row r="97" ht="19.5" customHeight="1" s="9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</row>
    <row r="98" ht="19.5" customHeight="1" s="9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</row>
    <row r="99" ht="19.5" customHeight="1" s="9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</row>
    <row r="100" ht="19.5" customHeight="1" s="9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</row>
    <row r="101" ht="19.5" customHeight="1" s="9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</row>
    <row r="102" ht="19.5" customHeight="1" s="9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</row>
    <row r="103" ht="19.5" customHeight="1" s="9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</row>
    <row r="104" ht="19.5" customHeight="1" s="9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</row>
    <row r="105" ht="19.5" customHeight="1" s="9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</row>
    <row r="106" ht="19.5" customHeight="1" s="9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</row>
    <row r="107" ht="19.5" customHeight="1" s="9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</row>
    <row r="108" ht="19.5" customHeight="1" s="9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</row>
    <row r="109" ht="19.5" customHeight="1" s="9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</row>
    <row r="110" ht="19.5" customHeight="1" s="9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</row>
    <row r="111" ht="19.5" customHeight="1" s="9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</row>
    <row r="112" ht="19.5" customHeight="1" s="9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</row>
    <row r="113" ht="19.5" customHeight="1" s="9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</row>
    <row r="114" ht="19.5" customHeight="1" s="9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</row>
    <row r="115" ht="19.5" customHeight="1" s="9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</row>
    <row r="116" ht="19.5" customHeight="1" s="9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</row>
    <row r="117" ht="19.5" customHeight="1" s="9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</row>
    <row r="118" ht="19.5" customHeight="1" s="9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</row>
    <row r="119" ht="19.5" customHeight="1" s="9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</row>
    <row r="120" ht="19.5" customHeight="1" s="9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</row>
    <row r="121" ht="19.5" customHeight="1" s="9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</row>
    <row r="122" ht="19.5" customHeight="1" s="9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</row>
    <row r="123" ht="19.5" customHeight="1" s="9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</row>
    <row r="124" ht="19.5" customHeight="1" s="9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</row>
    <row r="125" ht="19.5" customHeight="1" s="9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</row>
    <row r="126" ht="19.5" customHeight="1" s="9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</row>
    <row r="127" ht="19.5" customHeight="1" s="9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</row>
    <row r="128" ht="19.5" customHeight="1" s="9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</row>
    <row r="129" ht="19.5" customHeight="1" s="9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</row>
    <row r="130" ht="19.5" customHeight="1" s="9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</row>
    <row r="131" ht="19.5" customHeight="1" s="9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</row>
    <row r="132" ht="19.5" customHeight="1" s="9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</row>
    <row r="133" ht="19.5" customHeight="1" s="9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</row>
    <row r="134" ht="19.5" customHeight="1" s="9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</row>
    <row r="135" ht="19.5" customHeight="1" s="9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</row>
    <row r="136" ht="19.5" customHeight="1" s="9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</row>
    <row r="137" ht="19.5" customHeight="1" s="9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</row>
    <row r="138" ht="19.5" customHeight="1" s="9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</row>
    <row r="139" ht="19.5" customHeight="1" s="9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</row>
    <row r="140" ht="19.5" customHeight="1" s="9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</row>
    <row r="141" ht="19.5" customHeight="1" s="9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</row>
    <row r="142" ht="19.5" customHeight="1" s="9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</row>
    <row r="143" ht="19.5" customHeight="1" s="9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</row>
    <row r="144" ht="19.5" customHeight="1" s="9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</row>
    <row r="145" ht="19.5" customHeight="1" s="9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</row>
    <row r="146" ht="19.5" customHeight="1" s="9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</row>
    <row r="147" ht="19.5" customHeight="1" s="9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</row>
    <row r="148" ht="19.5" customHeight="1" s="9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</row>
    <row r="149" ht="19.5" customHeight="1" s="9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</row>
    <row r="150" ht="19.5" customHeight="1" s="9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</row>
    <row r="151" ht="19.5" customHeight="1" s="9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</row>
    <row r="152" ht="19.5" customHeight="1" s="9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</row>
    <row r="153" ht="19.5" customHeight="1" s="9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</row>
    <row r="154" ht="19.5" customHeight="1" s="9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</row>
    <row r="155" ht="19.5" customHeight="1" s="9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</row>
    <row r="156" ht="19.5" customHeight="1" s="9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</row>
    <row r="157" ht="19.5" customHeight="1" s="9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</row>
    <row r="158" ht="19.5" customHeight="1" s="9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</row>
    <row r="159" ht="19.5" customHeight="1" s="9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</row>
    <row r="160" ht="19.5" customHeight="1" s="9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</row>
    <row r="161" ht="19.5" customHeight="1" s="9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</row>
    <row r="162" ht="19.5" customHeight="1" s="9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</row>
    <row r="163" ht="19.5" customHeight="1" s="9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</row>
    <row r="164" ht="19.5" customHeight="1" s="9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</row>
    <row r="165" ht="19.5" customHeight="1" s="9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</row>
    <row r="166" ht="19.5" customHeight="1" s="9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</row>
    <row r="167" ht="19.5" customHeight="1" s="9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</row>
    <row r="168" ht="19.5" customHeight="1" s="9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</row>
    <row r="169" ht="19.5" customHeight="1" s="9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</row>
    <row r="170" ht="19.5" customHeight="1" s="9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</row>
    <row r="171" ht="19.5" customHeight="1" s="9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</row>
    <row r="172" ht="19.5" customHeight="1" s="9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</row>
    <row r="173" ht="19.5" customHeight="1" s="9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</row>
    <row r="174" ht="19.5" customHeight="1" s="9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</row>
    <row r="175" ht="19.5" customHeight="1" s="9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</row>
    <row r="176" ht="19.5" customHeight="1" s="9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</row>
    <row r="177" ht="19.5" customHeight="1" s="9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</row>
    <row r="178" ht="19.5" customHeight="1" s="9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</row>
    <row r="179" ht="19.5" customHeight="1" s="9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</row>
    <row r="180" ht="19.5" customHeight="1" s="9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</row>
    <row r="181" ht="19.5" customHeight="1" s="9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</row>
    <row r="182" ht="19.5" customHeight="1" s="9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</row>
    <row r="183" ht="19.5" customHeight="1" s="9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</row>
    <row r="184" ht="19.5" customHeight="1" s="9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</row>
    <row r="185" ht="19.5" customHeight="1" s="9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</row>
    <row r="186" ht="19.5" customHeight="1" s="9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</row>
    <row r="187" ht="19.5" customHeight="1" s="9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</row>
    <row r="188" ht="19.5" customHeight="1" s="9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</row>
    <row r="189" ht="19.5" customHeight="1" s="9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</row>
    <row r="190" ht="19.5" customHeight="1" s="9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</row>
    <row r="191" ht="19.5" customHeight="1" s="9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</row>
    <row r="192" ht="19.5" customHeight="1" s="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</row>
    <row r="193" ht="19.5" customHeight="1" s="9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</row>
    <row r="194" ht="19.5" customHeight="1" s="9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</row>
    <row r="195" ht="19.5" customHeight="1" s="9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</row>
    <row r="196" ht="19.5" customHeight="1" s="9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</row>
    <row r="197" ht="19.5" customHeight="1" s="9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</row>
    <row r="198" ht="19.5" customHeight="1" s="9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</row>
    <row r="199" ht="19.5" customHeight="1" s="9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</row>
    <row r="200" ht="19.5" customHeight="1" s="9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</row>
    <row r="201" ht="19.5" customHeight="1" s="9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</row>
    <row r="202" ht="19.5" customHeight="1" s="9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</row>
    <row r="203" ht="19.5" customHeight="1" s="9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</row>
    <row r="204" ht="19.5" customHeight="1" s="9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</row>
    <row r="205" ht="19.5" customHeight="1" s="9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</row>
    <row r="206" ht="19.5" customHeight="1" s="9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</row>
    <row r="207" ht="19.5" customHeight="1" s="9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</row>
    <row r="208" ht="19.5" customHeight="1" s="9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</row>
    <row r="209" ht="19.5" customHeight="1" s="9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</row>
    <row r="210" ht="19.5" customHeight="1" s="9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</row>
    <row r="211" ht="19.5" customHeight="1" s="9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</row>
    <row r="212" ht="19.5" customHeight="1" s="9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</row>
    <row r="213" ht="19.5" customHeight="1" s="9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</row>
    <row r="214" ht="19.5" customHeight="1" s="9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</row>
    <row r="215" ht="19.5" customHeight="1" s="9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</row>
    <row r="216" ht="19.5" customHeight="1" s="9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</row>
    <row r="217" ht="19.5" customHeight="1" s="9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</row>
    <row r="218" ht="19.5" customHeight="1" s="9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</row>
    <row r="219" ht="19.5" customHeight="1" s="9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</row>
    <row r="220" ht="19.5" customHeight="1" s="9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</row>
    <row r="221" ht="19.5" customHeight="1" s="9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</row>
    <row r="222" ht="19.5" customHeight="1" s="9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</row>
    <row r="223" ht="19.5" customHeight="1" s="9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</row>
    <row r="224" ht="19.5" customHeight="1" s="92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</row>
    <row r="225" ht="19.5" customHeight="1" s="92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</row>
    <row r="226" ht="19.5" customHeight="1" s="92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</row>
    <row r="227" ht="19.5" customHeight="1" s="92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</row>
    <row r="228" ht="19.5" customHeight="1" s="92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</row>
    <row r="229" ht="19.5" customHeight="1" s="92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</row>
    <row r="230" ht="19.5" customHeight="1" s="92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</row>
    <row r="231" ht="19.5" customHeight="1" s="92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</row>
    <row r="232" ht="19.5" customHeight="1" s="9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</row>
    <row r="233" ht="19.5" customHeight="1" s="92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</row>
    <row r="234" ht="19.5" customHeight="1" s="92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</row>
    <row r="235" ht="19.5" customHeight="1" s="92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</row>
    <row r="236" ht="19.5" customHeight="1" s="92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</row>
    <row r="237" ht="19.5" customHeight="1" s="92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</row>
    <row r="238" ht="19.5" customHeight="1" s="92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</row>
    <row r="239" ht="19.5" customHeight="1" s="92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</row>
    <row r="240" ht="19.5" customHeight="1" s="92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</row>
    <row r="241" ht="19.5" customHeight="1" s="92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</row>
    <row r="242" ht="19.5" customHeight="1" s="9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</row>
    <row r="243" ht="19.5" customHeight="1" s="92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</row>
    <row r="244" ht="19.5" customHeight="1" s="92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</row>
    <row r="245" ht="19.5" customHeight="1" s="92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</row>
    <row r="246" ht="19.5" customHeight="1" s="92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</row>
    <row r="247" ht="19.5" customHeight="1" s="92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</row>
    <row r="248" ht="19.5" customHeight="1" s="92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</row>
    <row r="249" ht="19.5" customHeight="1" s="92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</row>
    <row r="250" ht="19.5" customHeight="1" s="92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</row>
    <row r="251" ht="19.5" customHeight="1" s="92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</row>
    <row r="252" ht="19.5" customHeight="1" s="9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</row>
    <row r="253" ht="19.5" customHeight="1" s="92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</row>
    <row r="254" ht="19.5" customHeight="1" s="92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</row>
    <row r="255" ht="19.5" customHeight="1" s="92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</row>
    <row r="256" ht="19.5" customHeight="1" s="92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</row>
    <row r="257" ht="19.5" customHeight="1" s="92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</row>
    <row r="258" ht="19.5" customHeight="1" s="92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</row>
    <row r="259" ht="19.5" customHeight="1" s="92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</row>
    <row r="260" ht="19.5" customHeight="1" s="92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</row>
    <row r="261" ht="19.5" customHeight="1" s="92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</row>
    <row r="262" ht="19.5" customHeight="1" s="9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</row>
    <row r="263" ht="19.5" customHeight="1" s="92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</row>
    <row r="264" ht="19.5" customHeight="1" s="92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</row>
    <row r="265" ht="19.5" customHeight="1" s="92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</row>
    <row r="266" ht="19.5" customHeight="1" s="92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</row>
    <row r="267" ht="19.5" customHeight="1" s="92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</row>
    <row r="268" ht="19.5" customHeight="1" s="92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</row>
    <row r="269" ht="19.5" customHeight="1" s="92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</row>
    <row r="270" ht="19.5" customHeight="1" s="92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</row>
    <row r="271" ht="19.5" customHeight="1" s="92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</row>
    <row r="272" ht="19.5" customHeight="1" s="9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</row>
    <row r="273" ht="19.5" customHeight="1" s="92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</row>
    <row r="274" ht="19.5" customHeight="1" s="92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</row>
    <row r="275" ht="19.5" customHeight="1" s="92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</row>
    <row r="276" ht="19.5" customHeight="1" s="92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</row>
    <row r="277" ht="19.5" customHeight="1" s="92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</row>
    <row r="278" ht="19.5" customHeight="1" s="92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</row>
    <row r="279" ht="19.5" customHeight="1" s="92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</row>
    <row r="280" ht="19.5" customHeight="1" s="92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</row>
    <row r="281" ht="19.5" customHeight="1" s="92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</row>
    <row r="282" ht="19.5" customHeight="1" s="9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</row>
    <row r="283" ht="19.5" customHeight="1" s="92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</row>
    <row r="284" ht="19.5" customHeight="1" s="92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</row>
    <row r="285" ht="19.5" customHeight="1" s="92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</row>
    <row r="286" ht="19.5" customHeight="1" s="92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</row>
    <row r="287" ht="19.5" customHeight="1" s="92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</row>
    <row r="288" ht="19.5" customHeight="1" s="92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</row>
    <row r="289" ht="19.5" customHeight="1" s="92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</row>
    <row r="290" ht="19.5" customHeight="1" s="92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</row>
    <row r="291" ht="19.5" customHeight="1" s="92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</row>
    <row r="292" ht="19.5" customHeight="1" s="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</row>
    <row r="293" ht="19.5" customHeight="1" s="92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</row>
    <row r="294" ht="19.5" customHeight="1" s="92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</row>
    <row r="295" ht="19.5" customHeight="1" s="92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</row>
    <row r="296" ht="19.5" customHeight="1" s="92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</row>
    <row r="297" ht="19.5" customHeight="1" s="92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</row>
    <row r="298" ht="19.5" customHeight="1" s="92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</row>
    <row r="299" ht="19.5" customHeight="1" s="92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</row>
    <row r="300" ht="19.5" customHeight="1" s="92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</row>
    <row r="301" ht="19.5" customHeight="1" s="92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</row>
    <row r="302" ht="19.5" customHeight="1" s="9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</row>
    <row r="303" ht="19.5" customHeight="1" s="92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</row>
    <row r="304" ht="19.5" customHeight="1" s="92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</row>
    <row r="305" ht="19.5" customHeight="1" s="92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</row>
    <row r="306" ht="19.5" customHeight="1" s="92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</row>
    <row r="307" ht="19.5" customHeight="1" s="92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</row>
    <row r="308" ht="19.5" customHeight="1" s="92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</row>
    <row r="309" ht="19.5" customHeight="1" s="92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</row>
    <row r="310" ht="19.5" customHeight="1" s="92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</row>
    <row r="311" ht="19.5" customHeight="1" s="92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</row>
    <row r="312" ht="19.5" customHeight="1" s="9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</row>
    <row r="313" ht="19.5" customHeight="1" s="92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</row>
    <row r="314" ht="19.5" customHeight="1" s="92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</row>
    <row r="315" ht="19.5" customHeight="1" s="92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</row>
    <row r="316" ht="19.5" customHeight="1" s="92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</row>
    <row r="317" ht="19.5" customHeight="1" s="92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</row>
    <row r="318" ht="19.5" customHeight="1" s="92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</row>
    <row r="319" ht="19.5" customHeight="1" s="92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</row>
    <row r="320" ht="19.5" customHeight="1" s="92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</row>
    <row r="321" ht="19.5" customHeight="1" s="92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</row>
    <row r="322" ht="19.5" customHeight="1" s="9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</row>
    <row r="323" ht="19.5" customHeight="1" s="92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</row>
    <row r="324" ht="19.5" customHeight="1" s="92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</row>
    <row r="325" ht="19.5" customHeight="1" s="92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</row>
    <row r="326" ht="19.5" customHeight="1" s="92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</row>
    <row r="327" ht="19.5" customHeight="1" s="92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</row>
    <row r="328" ht="19.5" customHeight="1" s="92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</row>
    <row r="329" ht="19.5" customHeight="1" s="92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</row>
    <row r="330" ht="19.5" customHeight="1" s="92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</row>
    <row r="331" ht="19.5" customHeight="1" s="92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</row>
    <row r="332" ht="19.5" customHeight="1" s="9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</row>
    <row r="333" ht="19.5" customHeight="1" s="92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</row>
    <row r="334" ht="19.5" customHeight="1" s="92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</row>
    <row r="335" ht="19.5" customHeight="1" s="92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</row>
    <row r="336" ht="19.5" customHeight="1" s="92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</row>
    <row r="337" ht="19.5" customHeight="1" s="92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</row>
    <row r="338" ht="19.5" customHeight="1" s="92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</row>
    <row r="339" ht="19.5" customHeight="1" s="92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</row>
    <row r="340" ht="19.5" customHeight="1" s="92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</row>
    <row r="341" ht="19.5" customHeight="1" s="92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</row>
    <row r="342" ht="19.5" customHeight="1" s="9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</row>
    <row r="343" ht="19.5" customHeight="1" s="92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</row>
    <row r="344" ht="19.5" customHeight="1" s="92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</row>
    <row r="345" ht="19.5" customHeight="1" s="92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</row>
    <row r="346" ht="19.5" customHeight="1" s="92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</row>
    <row r="347" ht="19.5" customHeight="1" s="92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</row>
    <row r="348" ht="19.5" customHeight="1" s="92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</row>
    <row r="349" ht="19.5" customHeight="1" s="92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</row>
    <row r="350" ht="19.5" customHeight="1" s="92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</row>
    <row r="351" ht="19.5" customHeight="1" s="92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</row>
    <row r="352" ht="19.5" customHeight="1" s="9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</row>
    <row r="353" ht="19.5" customHeight="1" s="92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</row>
    <row r="354" ht="19.5" customHeight="1" s="92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</row>
    <row r="355" ht="19.5" customHeight="1" s="92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</row>
    <row r="356" ht="19.5" customHeight="1" s="92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</row>
    <row r="357" ht="19.5" customHeight="1" s="92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</row>
    <row r="358" ht="19.5" customHeight="1" s="92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</row>
    <row r="359" ht="19.5" customHeight="1" s="92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</row>
    <row r="360" ht="19.5" customHeight="1" s="92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</row>
    <row r="361" ht="19.5" customHeight="1" s="92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</row>
    <row r="362" ht="19.5" customHeight="1" s="9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</row>
    <row r="363" ht="19.5" customHeight="1" s="92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</row>
    <row r="364" ht="19.5" customHeight="1" s="92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</row>
    <row r="365" ht="19.5" customHeight="1" s="92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</row>
    <row r="366" ht="19.5" customHeight="1" s="92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</row>
    <row r="367" ht="19.5" customHeight="1" s="92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</row>
    <row r="368" ht="19.5" customHeight="1" s="92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</row>
    <row r="369" ht="19.5" customHeight="1" s="92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</row>
    <row r="370" ht="19.5" customHeight="1" s="92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</row>
    <row r="371" ht="19.5" customHeight="1" s="92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</row>
    <row r="372" ht="19.5" customHeight="1" s="9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</row>
    <row r="373" ht="19.5" customHeight="1" s="92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</row>
    <row r="374" ht="19.5" customHeight="1" s="92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</row>
    <row r="375" ht="19.5" customHeight="1" s="92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</row>
    <row r="376" ht="19.5" customHeight="1" s="92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</row>
    <row r="377" ht="19.5" customHeight="1" s="92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</row>
    <row r="378" ht="19.5" customHeight="1" s="92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</row>
    <row r="379" ht="19.5" customHeight="1" s="92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</row>
    <row r="380" ht="19.5" customHeight="1" s="92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</row>
    <row r="381" ht="19.5" customHeight="1" s="92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</row>
    <row r="382" ht="19.5" customHeight="1" s="9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</row>
    <row r="383" ht="19.5" customHeight="1" s="92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</row>
    <row r="384" ht="19.5" customHeight="1" s="92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</row>
    <row r="385" ht="19.5" customHeight="1" s="92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</row>
    <row r="386" ht="19.5" customHeight="1" s="92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</row>
    <row r="387" ht="19.5" customHeight="1" s="92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</row>
    <row r="388" ht="19.5" customHeight="1" s="92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</row>
    <row r="389" ht="19.5" customHeight="1" s="92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</row>
    <row r="390" ht="19.5" customHeight="1" s="92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</row>
    <row r="391" ht="19.5" customHeight="1" s="92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</row>
    <row r="392" ht="19.5" customHeight="1" s="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</row>
    <row r="393" ht="19.5" customHeight="1" s="92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</row>
    <row r="394" ht="19.5" customHeight="1" s="92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</row>
    <row r="395" ht="19.5" customHeight="1" s="92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</row>
    <row r="396" ht="19.5" customHeight="1" s="92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</row>
    <row r="397" ht="19.5" customHeight="1" s="92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</row>
    <row r="398" ht="19.5" customHeight="1" s="92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</row>
    <row r="399" ht="19.5" customHeight="1" s="92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</row>
    <row r="400" ht="19.5" customHeight="1" s="92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</row>
    <row r="401" ht="19.5" customHeight="1" s="92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</row>
    <row r="402" ht="19.5" customHeight="1" s="9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</row>
    <row r="403" ht="19.5" customHeight="1" s="92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</row>
    <row r="404" ht="19.5" customHeight="1" s="92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</row>
    <row r="405" ht="19.5" customHeight="1" s="92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</row>
    <row r="406" ht="19.5" customHeight="1" s="92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</row>
    <row r="407" ht="19.5" customHeight="1" s="92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</row>
    <row r="408" ht="19.5" customHeight="1" s="92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</row>
    <row r="409" ht="19.5" customHeight="1" s="92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</row>
    <row r="410" ht="19.5" customHeight="1" s="92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</row>
    <row r="411" ht="19.5" customHeight="1" s="92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</row>
    <row r="412" ht="19.5" customHeight="1" s="9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</row>
    <row r="413" ht="19.5" customHeight="1" s="92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</row>
    <row r="414" ht="19.5" customHeight="1" s="92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</row>
    <row r="415" ht="19.5" customHeight="1" s="92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</row>
    <row r="416" ht="19.5" customHeight="1" s="92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</row>
    <row r="417" ht="19.5" customHeight="1" s="92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</row>
    <row r="418" ht="19.5" customHeight="1" s="92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</row>
    <row r="419" ht="19.5" customHeight="1" s="92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</row>
    <row r="420" ht="19.5" customHeight="1" s="92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</row>
    <row r="421" ht="19.5" customHeight="1" s="92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</row>
    <row r="422" ht="19.5" customHeight="1" s="9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</row>
    <row r="423" ht="19.5" customHeight="1" s="92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</row>
    <row r="424" ht="19.5" customHeight="1" s="92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</row>
    <row r="425" ht="19.5" customHeight="1" s="92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</row>
    <row r="426" ht="19.5" customHeight="1" s="92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</row>
    <row r="427" ht="19.5" customHeight="1" s="92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</row>
    <row r="428" ht="19.5" customHeight="1" s="92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</row>
    <row r="429" ht="19.5" customHeight="1" s="92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</row>
    <row r="430" ht="19.5" customHeight="1" s="92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</row>
    <row r="431" ht="19.5" customHeight="1" s="92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</row>
    <row r="432" ht="19.5" customHeight="1" s="9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</row>
    <row r="433" ht="19.5" customHeight="1" s="92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</row>
    <row r="434" ht="19.5" customHeight="1" s="92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</row>
    <row r="435" ht="19.5" customHeight="1" s="92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</row>
    <row r="436" ht="19.5" customHeight="1" s="92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</row>
    <row r="437" ht="19.5" customHeight="1" s="92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</row>
    <row r="438" ht="19.5" customHeight="1" s="92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</row>
    <row r="439" ht="19.5" customHeight="1" s="92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</row>
    <row r="440" ht="19.5" customHeight="1" s="92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</row>
    <row r="441" ht="19.5" customHeight="1" s="92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</row>
    <row r="442" ht="19.5" customHeight="1" s="9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</row>
    <row r="443" ht="19.5" customHeight="1" s="92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</row>
    <row r="444" ht="19.5" customHeight="1" s="92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</row>
    <row r="445" ht="19.5" customHeight="1" s="92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</row>
    <row r="446" ht="19.5" customHeight="1" s="92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</row>
    <row r="447" ht="19.5" customHeight="1" s="92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</row>
    <row r="448" ht="19.5" customHeight="1" s="92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</row>
    <row r="449" ht="19.5" customHeight="1" s="92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</row>
    <row r="450" ht="19.5" customHeight="1" s="92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</row>
    <row r="451" ht="19.5" customHeight="1" s="92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</row>
    <row r="452" ht="19.5" customHeight="1" s="9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</row>
    <row r="453" ht="19.5" customHeight="1" s="92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</row>
    <row r="454" ht="19.5" customHeight="1" s="92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</row>
    <row r="455" ht="19.5" customHeight="1" s="92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</row>
    <row r="456" ht="19.5" customHeight="1" s="92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</row>
    <row r="457" ht="19.5" customHeight="1" s="92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</row>
    <row r="458" ht="19.5" customHeight="1" s="92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</row>
    <row r="459" ht="19.5" customHeight="1" s="92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</row>
    <row r="460" ht="19.5" customHeight="1" s="92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</row>
    <row r="461" ht="19.5" customHeight="1" s="92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</row>
    <row r="462" ht="19.5" customHeight="1" s="9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</row>
    <row r="463" ht="19.5" customHeight="1" s="92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</row>
    <row r="464" ht="19.5" customHeight="1" s="92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</row>
    <row r="465" ht="19.5" customHeight="1" s="92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</row>
    <row r="466" ht="19.5" customHeight="1" s="92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</row>
    <row r="467" ht="19.5" customHeight="1" s="92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</row>
    <row r="468" ht="19.5" customHeight="1" s="92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</row>
    <row r="469" ht="19.5" customHeight="1" s="92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</row>
    <row r="470" ht="19.5" customHeight="1" s="92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</row>
    <row r="471" ht="19.5" customHeight="1" s="92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</row>
    <row r="472" ht="19.5" customHeight="1" s="9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</row>
    <row r="473" ht="19.5" customHeight="1" s="92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</row>
    <row r="474" ht="19.5" customHeight="1" s="92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</row>
    <row r="475" ht="19.5" customHeight="1" s="92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</row>
    <row r="476" ht="19.5" customHeight="1" s="92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</row>
    <row r="477" ht="19.5" customHeight="1" s="92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</row>
    <row r="478" ht="19.5" customHeight="1" s="92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</row>
    <row r="479" ht="19.5" customHeight="1" s="92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</row>
    <row r="480" ht="19.5" customHeight="1" s="92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</row>
    <row r="481" ht="19.5" customHeight="1" s="92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</row>
    <row r="482" ht="19.5" customHeight="1" s="9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</row>
    <row r="483" ht="19.5" customHeight="1" s="92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</row>
    <row r="484" ht="19.5" customHeight="1" s="92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</row>
    <row r="485" ht="19.5" customHeight="1" s="92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</row>
    <row r="486" ht="19.5" customHeight="1" s="92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</row>
    <row r="487" ht="19.5" customHeight="1" s="92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</row>
    <row r="488" ht="19.5" customHeight="1" s="92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</row>
    <row r="489" ht="19.5" customHeight="1" s="92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</row>
    <row r="490" ht="19.5" customHeight="1" s="92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</row>
    <row r="491" ht="19.5" customHeight="1" s="92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</row>
    <row r="492" ht="19.5" customHeight="1" s="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</row>
    <row r="493" ht="19.5" customHeight="1" s="92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</row>
    <row r="494" ht="19.5" customHeight="1" s="92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</row>
    <row r="495" ht="19.5" customHeight="1" s="92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</row>
    <row r="496" ht="19.5" customHeight="1" s="92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</row>
    <row r="497" ht="19.5" customHeight="1" s="92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</row>
    <row r="498" ht="19.5" customHeight="1" s="92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</row>
    <row r="499" ht="19.5" customHeight="1" s="92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</row>
    <row r="500" ht="19.5" customHeight="1" s="92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</row>
    <row r="501" ht="19.5" customHeight="1" s="92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</row>
    <row r="502" ht="19.5" customHeight="1" s="9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</row>
    <row r="503" ht="19.5" customHeight="1" s="92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</row>
    <row r="504" ht="19.5" customHeight="1" s="92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</row>
    <row r="505" ht="19.5" customHeight="1" s="92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</row>
    <row r="506" ht="19.5" customHeight="1" s="92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</row>
    <row r="507" ht="19.5" customHeight="1" s="92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</row>
    <row r="508" ht="19.5" customHeight="1" s="92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</row>
    <row r="509" ht="19.5" customHeight="1" s="92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</row>
    <row r="510" ht="19.5" customHeight="1" s="92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</row>
    <row r="511" ht="19.5" customHeight="1" s="92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</row>
    <row r="512" ht="19.5" customHeight="1" s="9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</row>
    <row r="513" ht="19.5" customHeight="1" s="92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</row>
    <row r="514" ht="19.5" customHeight="1" s="92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</row>
    <row r="515" ht="19.5" customHeight="1" s="92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</row>
    <row r="516" ht="19.5" customHeight="1" s="92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</row>
    <row r="517" ht="19.5" customHeight="1" s="92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</row>
    <row r="518" ht="19.5" customHeight="1" s="92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</row>
    <row r="519" ht="19.5" customHeight="1" s="92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</row>
    <row r="520" ht="19.5" customHeight="1" s="92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</row>
    <row r="521" ht="19.5" customHeight="1" s="92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</row>
    <row r="522" ht="19.5" customHeight="1" s="9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</row>
    <row r="523" ht="19.5" customHeight="1" s="92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</row>
    <row r="524" ht="19.5" customHeight="1" s="92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</row>
    <row r="525" ht="19.5" customHeight="1" s="92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</row>
    <row r="526" ht="19.5" customHeight="1" s="92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</row>
    <row r="527" ht="19.5" customHeight="1" s="92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</row>
    <row r="528" ht="19.5" customHeight="1" s="92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</row>
    <row r="529" ht="19.5" customHeight="1" s="92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</row>
    <row r="530" ht="19.5" customHeight="1" s="92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</row>
    <row r="531" ht="19.5" customHeight="1" s="92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</row>
    <row r="532" ht="19.5" customHeight="1" s="9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</row>
    <row r="533" ht="19.5" customHeight="1" s="92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</row>
    <row r="534" ht="19.5" customHeight="1" s="92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</row>
    <row r="535" ht="19.5" customHeight="1" s="92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</row>
    <row r="536" ht="19.5" customHeight="1" s="92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</row>
    <row r="537" ht="19.5" customHeight="1" s="92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</row>
    <row r="538" ht="19.5" customHeight="1" s="92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</row>
    <row r="539" ht="19.5" customHeight="1" s="92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</row>
    <row r="540" ht="19.5" customHeight="1" s="92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</row>
    <row r="541" ht="19.5" customHeight="1" s="92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</row>
    <row r="542" ht="19.5" customHeight="1" s="9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</row>
    <row r="543" ht="19.5" customHeight="1" s="92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</row>
    <row r="544" ht="19.5" customHeight="1" s="92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</row>
    <row r="545" ht="19.5" customHeight="1" s="92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</row>
    <row r="546" ht="19.5" customHeight="1" s="92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</row>
    <row r="547" ht="19.5" customHeight="1" s="92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</row>
    <row r="548" ht="19.5" customHeight="1" s="92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</row>
    <row r="549" ht="19.5" customHeight="1" s="92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</row>
    <row r="550" ht="19.5" customHeight="1" s="92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</row>
    <row r="551" ht="19.5" customHeight="1" s="92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</row>
    <row r="552" ht="19.5" customHeight="1" s="9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</row>
    <row r="553" ht="19.5" customHeight="1" s="92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</row>
    <row r="554" ht="19.5" customHeight="1" s="92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</row>
    <row r="555" ht="19.5" customHeight="1" s="92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</row>
    <row r="556" ht="19.5" customHeight="1" s="92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</row>
    <row r="557" ht="19.5" customHeight="1" s="92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</row>
    <row r="558" ht="19.5" customHeight="1" s="92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</row>
    <row r="559" ht="19.5" customHeight="1" s="92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</row>
    <row r="560" ht="19.5" customHeight="1" s="92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</row>
    <row r="561" ht="19.5" customHeight="1" s="92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</row>
    <row r="562" ht="19.5" customHeight="1" s="9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</row>
    <row r="563" ht="19.5" customHeight="1" s="92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</row>
    <row r="564" ht="19.5" customHeight="1" s="92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</row>
    <row r="565" ht="19.5" customHeight="1" s="92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</row>
    <row r="566" ht="19.5" customHeight="1" s="92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</row>
    <row r="567" ht="19.5" customHeight="1" s="92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</row>
    <row r="568" ht="19.5" customHeight="1" s="92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</row>
    <row r="569" ht="19.5" customHeight="1" s="92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</row>
    <row r="570" ht="19.5" customHeight="1" s="92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</row>
    <row r="571" ht="19.5" customHeight="1" s="92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</row>
    <row r="572" ht="19.5" customHeight="1" s="9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</row>
    <row r="573" ht="19.5" customHeight="1" s="92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</row>
    <row r="574" ht="19.5" customHeight="1" s="92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</row>
    <row r="575" ht="19.5" customHeight="1" s="92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</row>
    <row r="576" ht="19.5" customHeight="1" s="92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</row>
    <row r="577" ht="19.5" customHeight="1" s="92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</row>
    <row r="578" ht="19.5" customHeight="1" s="92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</row>
    <row r="579" ht="19.5" customHeight="1" s="92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</row>
    <row r="580" ht="19.5" customHeight="1" s="92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</row>
    <row r="581" ht="19.5" customHeight="1" s="92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</row>
    <row r="582" ht="19.5" customHeight="1" s="9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</row>
    <row r="583" ht="19.5" customHeight="1" s="92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</row>
    <row r="584" ht="19.5" customHeight="1" s="92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</row>
    <row r="585" ht="19.5" customHeight="1" s="92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</row>
    <row r="586" ht="19.5" customHeight="1" s="92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</row>
    <row r="587" ht="19.5" customHeight="1" s="92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</row>
    <row r="588" ht="19.5" customHeight="1" s="92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</row>
    <row r="589" ht="19.5" customHeight="1" s="92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</row>
    <row r="590" ht="19.5" customHeight="1" s="92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</row>
    <row r="591" ht="19.5" customHeight="1" s="92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</row>
    <row r="592" ht="19.5" customHeight="1" s="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</row>
    <row r="593" ht="19.5" customHeight="1" s="92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</row>
    <row r="594" ht="19.5" customHeight="1" s="92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</row>
    <row r="595" ht="19.5" customHeight="1" s="92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</row>
    <row r="596" ht="19.5" customHeight="1" s="92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</row>
    <row r="597" ht="19.5" customHeight="1" s="92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</row>
    <row r="598" ht="19.5" customHeight="1" s="92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</row>
    <row r="599" ht="19.5" customHeight="1" s="92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</row>
    <row r="600" ht="19.5" customHeight="1" s="92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</row>
    <row r="601" ht="19.5" customHeight="1" s="92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</row>
    <row r="602" ht="19.5" customHeight="1" s="9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</row>
    <row r="603" ht="19.5" customHeight="1" s="92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</row>
    <row r="604" ht="19.5" customHeight="1" s="92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</row>
    <row r="605" ht="19.5" customHeight="1" s="92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</row>
    <row r="606" ht="19.5" customHeight="1" s="92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</row>
    <row r="607" ht="19.5" customHeight="1" s="92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</row>
    <row r="608" ht="19.5" customHeight="1" s="92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</row>
    <row r="609" ht="19.5" customHeight="1" s="92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</row>
    <row r="610" ht="19.5" customHeight="1" s="92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</row>
    <row r="611" ht="19.5" customHeight="1" s="92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</row>
    <row r="612" ht="19.5" customHeight="1" s="9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</row>
    <row r="613" ht="19.5" customHeight="1" s="92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</row>
    <row r="614" ht="19.5" customHeight="1" s="92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</row>
    <row r="615" ht="19.5" customHeight="1" s="92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</row>
    <row r="616" ht="19.5" customHeight="1" s="92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</row>
    <row r="617" ht="19.5" customHeight="1" s="92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</row>
    <row r="618" ht="19.5" customHeight="1" s="92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</row>
    <row r="619" ht="19.5" customHeight="1" s="92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</row>
    <row r="620" ht="19.5" customHeight="1" s="92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</row>
    <row r="621" ht="19.5" customHeight="1" s="92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</row>
    <row r="622" ht="19.5" customHeight="1" s="9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</row>
    <row r="623" ht="19.5" customHeight="1" s="92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</row>
    <row r="624" ht="19.5" customHeight="1" s="92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</row>
    <row r="625" ht="19.5" customHeight="1" s="92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</row>
    <row r="626" ht="19.5" customHeight="1" s="92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</row>
    <row r="627" ht="19.5" customHeight="1" s="92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</row>
    <row r="628" ht="19.5" customHeight="1" s="92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</row>
    <row r="629" ht="19.5" customHeight="1" s="92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</row>
    <row r="630" ht="19.5" customHeight="1" s="92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</row>
    <row r="631" ht="19.5" customHeight="1" s="92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</row>
    <row r="632" ht="19.5" customHeight="1" s="9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</row>
    <row r="633" ht="19.5" customHeight="1" s="92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</row>
    <row r="634" ht="19.5" customHeight="1" s="92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</row>
    <row r="635" ht="19.5" customHeight="1" s="92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</row>
    <row r="636" ht="19.5" customHeight="1" s="92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</row>
    <row r="637" ht="19.5" customHeight="1" s="92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</row>
    <row r="638" ht="19.5" customHeight="1" s="92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</row>
    <row r="639" ht="19.5" customHeight="1" s="92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</row>
    <row r="640" ht="19.5" customHeight="1" s="92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</row>
    <row r="641" ht="19.5" customHeight="1" s="92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</row>
    <row r="642" ht="19.5" customHeight="1" s="9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</row>
    <row r="643" ht="19.5" customHeight="1" s="92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</row>
    <row r="644" ht="19.5" customHeight="1" s="92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</row>
    <row r="645" ht="19.5" customHeight="1" s="92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</row>
    <row r="646" ht="19.5" customHeight="1" s="92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</row>
    <row r="647" ht="19.5" customHeight="1" s="92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</row>
    <row r="648" ht="19.5" customHeight="1" s="92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</row>
    <row r="649" ht="19.5" customHeight="1" s="92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</row>
    <row r="650" ht="19.5" customHeight="1" s="92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</row>
    <row r="651" ht="19.5" customHeight="1" s="92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</row>
    <row r="652" ht="19.5" customHeight="1" s="9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</row>
    <row r="653" ht="19.5" customHeight="1" s="92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</row>
    <row r="654" ht="19.5" customHeight="1" s="92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</row>
    <row r="655" ht="19.5" customHeight="1" s="92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</row>
    <row r="656" ht="19.5" customHeight="1" s="92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</row>
    <row r="657" ht="19.5" customHeight="1" s="92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</row>
    <row r="658" ht="19.5" customHeight="1" s="92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</row>
    <row r="659" ht="19.5" customHeight="1" s="92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</row>
    <row r="660" ht="19.5" customHeight="1" s="92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</row>
    <row r="661" ht="19.5" customHeight="1" s="92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</row>
    <row r="662" ht="19.5" customHeight="1" s="9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</row>
    <row r="663" ht="19.5" customHeight="1" s="92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</row>
    <row r="664" ht="19.5" customHeight="1" s="92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</row>
    <row r="665" ht="19.5" customHeight="1" s="92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</row>
    <row r="666" ht="19.5" customHeight="1" s="92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</row>
    <row r="667" ht="19.5" customHeight="1" s="92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</row>
    <row r="668" ht="19.5" customHeight="1" s="92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</row>
    <row r="669" ht="19.5" customHeight="1" s="92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</row>
    <row r="670" ht="19.5" customHeight="1" s="92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</row>
    <row r="671" ht="19.5" customHeight="1" s="92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</row>
    <row r="672" ht="19.5" customHeight="1" s="9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</row>
    <row r="673" ht="19.5" customHeight="1" s="92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</row>
    <row r="674" ht="19.5" customHeight="1" s="92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</row>
    <row r="675" ht="19.5" customHeight="1" s="92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</row>
    <row r="676" ht="19.5" customHeight="1" s="92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</row>
    <row r="677" ht="19.5" customHeight="1" s="92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</row>
    <row r="678" ht="19.5" customHeight="1" s="92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</row>
    <row r="679" ht="19.5" customHeight="1" s="92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</row>
    <row r="680" ht="19.5" customHeight="1" s="92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</row>
    <row r="681" ht="19.5" customHeight="1" s="92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</row>
    <row r="682" ht="19.5" customHeight="1" s="9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</row>
    <row r="683" ht="19.5" customHeight="1" s="92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</row>
    <row r="684" ht="19.5" customHeight="1" s="92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</row>
    <row r="685" ht="19.5" customHeight="1" s="92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</row>
    <row r="686" ht="19.5" customHeight="1" s="92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</row>
    <row r="687" ht="19.5" customHeight="1" s="92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</row>
    <row r="688" ht="19.5" customHeight="1" s="92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</row>
    <row r="689" ht="19.5" customHeight="1" s="92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</row>
    <row r="690" ht="19.5" customHeight="1" s="92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</row>
    <row r="691" ht="19.5" customHeight="1" s="92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</row>
    <row r="692" ht="19.5" customHeight="1" s="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</row>
    <row r="693" ht="19.5" customHeight="1" s="92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</row>
    <row r="694" ht="19.5" customHeight="1" s="92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</row>
    <row r="695" ht="19.5" customHeight="1" s="92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</row>
    <row r="696" ht="19.5" customHeight="1" s="92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</row>
    <row r="697" ht="19.5" customHeight="1" s="92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</row>
    <row r="698" ht="19.5" customHeight="1" s="92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</row>
    <row r="699" ht="19.5" customHeight="1" s="92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</row>
    <row r="700" ht="19.5" customHeight="1" s="92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</row>
    <row r="701" ht="19.5" customHeight="1" s="92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</row>
    <row r="702" ht="19.5" customHeight="1" s="9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</row>
    <row r="703" ht="19.5" customHeight="1" s="92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</row>
    <row r="704" ht="19.5" customHeight="1" s="92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</row>
    <row r="705" ht="19.5" customHeight="1" s="92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</row>
    <row r="706" ht="19.5" customHeight="1" s="92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</row>
    <row r="707" ht="19.5" customHeight="1" s="92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</row>
    <row r="708" ht="19.5" customHeight="1" s="92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</row>
    <row r="709" ht="19.5" customHeight="1" s="92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</row>
    <row r="710" ht="19.5" customHeight="1" s="92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</row>
    <row r="711" ht="19.5" customHeight="1" s="92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</row>
    <row r="712" ht="19.5" customHeight="1" s="9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</row>
    <row r="713" ht="19.5" customHeight="1" s="92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</row>
    <row r="714" ht="19.5" customHeight="1" s="92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</row>
    <row r="715" ht="19.5" customHeight="1" s="92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</row>
    <row r="716" ht="19.5" customHeight="1" s="92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</row>
    <row r="717" ht="19.5" customHeight="1" s="92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</row>
    <row r="718" ht="19.5" customHeight="1" s="92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</row>
    <row r="719" ht="19.5" customHeight="1" s="92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</row>
    <row r="720" ht="19.5" customHeight="1" s="92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</row>
    <row r="721" ht="19.5" customHeight="1" s="92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</row>
    <row r="722" ht="19.5" customHeight="1" s="9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</row>
    <row r="723" ht="19.5" customHeight="1" s="92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</row>
    <row r="724" ht="19.5" customHeight="1" s="92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</row>
    <row r="725" ht="19.5" customHeight="1" s="92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</row>
    <row r="726" ht="19.5" customHeight="1" s="92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</row>
    <row r="727" ht="19.5" customHeight="1" s="92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</row>
    <row r="728" ht="19.5" customHeight="1" s="92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</row>
    <row r="729" ht="19.5" customHeight="1" s="92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</row>
    <row r="730" ht="19.5" customHeight="1" s="92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</row>
    <row r="731" ht="19.5" customHeight="1" s="92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</row>
    <row r="732" ht="19.5" customHeight="1" s="9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</row>
    <row r="733" ht="19.5" customHeight="1" s="92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</row>
    <row r="734" ht="19.5" customHeight="1" s="92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</row>
    <row r="735" ht="19.5" customHeight="1" s="92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</row>
    <row r="736" ht="19.5" customHeight="1" s="92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</row>
    <row r="737" ht="19.5" customHeight="1" s="92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</row>
    <row r="738" ht="19.5" customHeight="1" s="92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</row>
    <row r="739" ht="19.5" customHeight="1" s="92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</row>
    <row r="740" ht="19.5" customHeight="1" s="92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</row>
    <row r="741" ht="19.5" customHeight="1" s="92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</row>
    <row r="742" ht="19.5" customHeight="1" s="9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</row>
    <row r="743" ht="19.5" customHeight="1" s="92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</row>
    <row r="744" ht="19.5" customHeight="1" s="92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</row>
    <row r="745" ht="19.5" customHeight="1" s="92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</row>
    <row r="746" ht="19.5" customHeight="1" s="92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</row>
    <row r="747" ht="19.5" customHeight="1" s="92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</row>
    <row r="748" ht="19.5" customHeight="1" s="92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</row>
    <row r="749" ht="19.5" customHeight="1" s="92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</row>
    <row r="750" ht="19.5" customHeight="1" s="92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</row>
    <row r="751" ht="19.5" customHeight="1" s="92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</row>
    <row r="752" ht="19.5" customHeight="1" s="9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</row>
    <row r="753" ht="19.5" customHeight="1" s="92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</row>
    <row r="754" ht="19.5" customHeight="1" s="92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</row>
    <row r="755" ht="19.5" customHeight="1" s="92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</row>
    <row r="756" ht="19.5" customHeight="1" s="92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</row>
    <row r="757" ht="19.5" customHeight="1" s="92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</row>
    <row r="758" ht="19.5" customHeight="1" s="92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</row>
    <row r="759" ht="19.5" customHeight="1" s="92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</row>
    <row r="760" ht="19.5" customHeight="1" s="92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</row>
    <row r="761" ht="19.5" customHeight="1" s="92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</row>
    <row r="762" ht="19.5" customHeight="1" s="9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</row>
    <row r="763" ht="19.5" customHeight="1" s="92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</row>
    <row r="764" ht="19.5" customHeight="1" s="92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</row>
    <row r="765" ht="19.5" customHeight="1" s="92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</row>
    <row r="766" ht="19.5" customHeight="1" s="92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</row>
    <row r="767" ht="19.5" customHeight="1" s="92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</row>
    <row r="768" ht="19.5" customHeight="1" s="92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</row>
    <row r="769" ht="19.5" customHeight="1" s="92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</row>
    <row r="770" ht="19.5" customHeight="1" s="92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</row>
    <row r="771" ht="19.5" customHeight="1" s="92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</row>
    <row r="772" ht="19.5" customHeight="1" s="9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</row>
    <row r="773" ht="19.5" customHeight="1" s="92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</row>
    <row r="774" ht="19.5" customHeight="1" s="92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</row>
    <row r="775" ht="19.5" customHeight="1" s="92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</row>
    <row r="776" ht="19.5" customHeight="1" s="92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</row>
    <row r="777" ht="19.5" customHeight="1" s="92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</row>
    <row r="778" ht="19.5" customHeight="1" s="92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</row>
    <row r="779" ht="19.5" customHeight="1" s="92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</row>
    <row r="780" ht="19.5" customHeight="1" s="92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</row>
    <row r="781" ht="19.5" customHeight="1" s="92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</row>
    <row r="782" ht="19.5" customHeight="1" s="9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</row>
    <row r="783" ht="19.5" customHeight="1" s="92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</row>
    <row r="784" ht="19.5" customHeight="1" s="92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</row>
    <row r="785" ht="19.5" customHeight="1" s="92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</row>
    <row r="786" ht="19.5" customHeight="1" s="92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</row>
    <row r="787" ht="19.5" customHeight="1" s="92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</row>
    <row r="788" ht="19.5" customHeight="1" s="92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</row>
    <row r="789" ht="19.5" customHeight="1" s="92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</row>
    <row r="790" ht="19.5" customHeight="1" s="92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</row>
    <row r="791" ht="19.5" customHeight="1" s="92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</row>
    <row r="792" ht="19.5" customHeight="1" s="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</row>
    <row r="793" ht="19.5" customHeight="1" s="92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</row>
    <row r="794" ht="19.5" customHeight="1" s="92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</row>
    <row r="795" ht="19.5" customHeight="1" s="92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</row>
    <row r="796" ht="19.5" customHeight="1" s="92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</row>
    <row r="797" ht="19.5" customHeight="1" s="92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</row>
    <row r="798" ht="19.5" customHeight="1" s="92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</row>
    <row r="799" ht="19.5" customHeight="1" s="92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</row>
    <row r="800" ht="19.5" customHeight="1" s="92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</row>
    <row r="801" ht="19.5" customHeight="1" s="92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</row>
    <row r="802" ht="19.5" customHeight="1" s="9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</row>
    <row r="803" ht="19.5" customHeight="1" s="92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</row>
    <row r="804" ht="19.5" customHeight="1" s="92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</row>
    <row r="805" ht="19.5" customHeight="1" s="92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</row>
    <row r="806" ht="19.5" customHeight="1" s="92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</row>
    <row r="807" ht="19.5" customHeight="1" s="92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</row>
    <row r="808" ht="19.5" customHeight="1" s="92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</row>
    <row r="809" ht="19.5" customHeight="1" s="92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</row>
    <row r="810" ht="19.5" customHeight="1" s="92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</row>
    <row r="811" ht="19.5" customHeight="1" s="92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</row>
    <row r="812" ht="19.5" customHeight="1" s="9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</row>
    <row r="813" ht="19.5" customHeight="1" s="92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</row>
    <row r="814" ht="19.5" customHeight="1" s="92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</row>
    <row r="815" ht="19.5" customHeight="1" s="92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</row>
    <row r="816" ht="19.5" customHeight="1" s="92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</row>
    <row r="817" ht="19.5" customHeight="1" s="92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</row>
    <row r="818" ht="19.5" customHeight="1" s="92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</row>
    <row r="819" ht="19.5" customHeight="1" s="92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</row>
    <row r="820" ht="19.5" customHeight="1" s="92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</row>
    <row r="821" ht="19.5" customHeight="1" s="92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</row>
    <row r="822" ht="19.5" customHeight="1" s="9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</row>
    <row r="823" ht="19.5" customHeight="1" s="92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</row>
    <row r="824" ht="19.5" customHeight="1" s="92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</row>
    <row r="825" ht="19.5" customHeight="1" s="92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</row>
    <row r="826" ht="19.5" customHeight="1" s="92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</row>
    <row r="827" ht="19.5" customHeight="1" s="92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</row>
    <row r="828" ht="19.5" customHeight="1" s="92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</row>
    <row r="829" ht="19.5" customHeight="1" s="92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</row>
    <row r="830" ht="19.5" customHeight="1" s="92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</row>
    <row r="831" ht="19.5" customHeight="1" s="92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</row>
    <row r="832" ht="19.5" customHeight="1" s="9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</row>
    <row r="833" ht="19.5" customHeight="1" s="92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</row>
    <row r="834" ht="19.5" customHeight="1" s="92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</row>
    <row r="835" ht="19.5" customHeight="1" s="92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</row>
    <row r="836" ht="19.5" customHeight="1" s="92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</row>
    <row r="837" ht="19.5" customHeight="1" s="92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</row>
    <row r="838" ht="19.5" customHeight="1" s="92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</row>
    <row r="839" ht="19.5" customHeight="1" s="92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</row>
    <row r="840" ht="19.5" customHeight="1" s="92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</row>
    <row r="841" ht="19.5" customHeight="1" s="92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</row>
    <row r="842" ht="19.5" customHeight="1" s="9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</row>
    <row r="843" ht="19.5" customHeight="1" s="92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</row>
    <row r="844" ht="19.5" customHeight="1" s="92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</row>
    <row r="845" ht="19.5" customHeight="1" s="92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</row>
    <row r="846" ht="19.5" customHeight="1" s="92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</row>
    <row r="847" ht="19.5" customHeight="1" s="92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</row>
    <row r="848" ht="19.5" customHeight="1" s="92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</row>
    <row r="849" ht="19.5" customHeight="1" s="92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</row>
    <row r="850" ht="19.5" customHeight="1" s="92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</row>
    <row r="851" ht="19.5" customHeight="1" s="92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</row>
    <row r="852" ht="19.5" customHeight="1" s="9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</row>
    <row r="853" ht="19.5" customHeight="1" s="92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</row>
    <row r="854" ht="19.5" customHeight="1" s="92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</row>
    <row r="855" ht="19.5" customHeight="1" s="92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</row>
    <row r="856" ht="19.5" customHeight="1" s="92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</row>
    <row r="857" ht="19.5" customHeight="1" s="92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</row>
    <row r="858" ht="19.5" customHeight="1" s="92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</row>
    <row r="859" ht="19.5" customHeight="1" s="92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</row>
    <row r="860" ht="19.5" customHeight="1" s="92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</row>
    <row r="861" ht="19.5" customHeight="1" s="92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</row>
    <row r="862" ht="19.5" customHeight="1" s="9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</row>
    <row r="863" ht="19.5" customHeight="1" s="92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</row>
    <row r="864" ht="19.5" customHeight="1" s="92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</row>
    <row r="865" ht="19.5" customHeight="1" s="92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</row>
    <row r="866" ht="19.5" customHeight="1" s="92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</row>
    <row r="867" ht="19.5" customHeight="1" s="92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</row>
    <row r="868" ht="19.5" customHeight="1" s="92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</row>
    <row r="869" ht="19.5" customHeight="1" s="92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</row>
    <row r="870" ht="19.5" customHeight="1" s="92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</row>
    <row r="871" ht="19.5" customHeight="1" s="92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</row>
    <row r="872" ht="19.5" customHeight="1" s="9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</row>
    <row r="873" ht="19.5" customHeight="1" s="92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</row>
    <row r="874" ht="19.5" customHeight="1" s="92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</row>
    <row r="875" ht="19.5" customHeight="1" s="92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</row>
    <row r="876" ht="19.5" customHeight="1" s="92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</row>
    <row r="877" ht="19.5" customHeight="1" s="92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</row>
    <row r="878" ht="19.5" customHeight="1" s="92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</row>
    <row r="879" ht="19.5" customHeight="1" s="92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</row>
    <row r="880" ht="19.5" customHeight="1" s="92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</row>
    <row r="881" ht="19.5" customHeight="1" s="92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</row>
    <row r="882" ht="19.5" customHeight="1" s="9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</row>
    <row r="883" ht="19.5" customHeight="1" s="92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</row>
    <row r="884" ht="19.5" customHeight="1" s="92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</row>
    <row r="885" ht="19.5" customHeight="1" s="92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</row>
    <row r="886" ht="19.5" customHeight="1" s="92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</row>
    <row r="887" ht="19.5" customHeight="1" s="92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</row>
    <row r="888" ht="19.5" customHeight="1" s="92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</row>
    <row r="889" ht="19.5" customHeight="1" s="92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</row>
    <row r="890" ht="19.5" customHeight="1" s="92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</row>
    <row r="891" ht="19.5" customHeight="1" s="92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</row>
    <row r="892" ht="19.5" customHeight="1" s="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</row>
    <row r="893" ht="19.5" customHeight="1" s="92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</row>
    <row r="894" ht="19.5" customHeight="1" s="92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</row>
    <row r="895" ht="19.5" customHeight="1" s="92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</row>
    <row r="896" ht="19.5" customHeight="1" s="92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</row>
    <row r="897" ht="19.5" customHeight="1" s="92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</row>
    <row r="898" ht="19.5" customHeight="1" s="92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</row>
    <row r="899" ht="19.5" customHeight="1" s="92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</row>
    <row r="900" ht="19.5" customHeight="1" s="92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</row>
    <row r="901" ht="19.5" customHeight="1" s="92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</row>
    <row r="902" ht="19.5" customHeight="1" s="9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</row>
    <row r="903" ht="19.5" customHeight="1" s="92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</row>
    <row r="904" ht="19.5" customHeight="1" s="92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</row>
    <row r="905" ht="19.5" customHeight="1" s="92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</row>
    <row r="906" ht="19.5" customHeight="1" s="92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</row>
    <row r="907" ht="19.5" customHeight="1" s="92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</row>
    <row r="908" ht="19.5" customHeight="1" s="92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</row>
    <row r="909" ht="19.5" customHeight="1" s="92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</row>
    <row r="910" ht="19.5" customHeight="1" s="92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</row>
    <row r="911" ht="19.5" customHeight="1" s="92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</row>
    <row r="912" ht="19.5" customHeight="1" s="9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</row>
    <row r="913" ht="19.5" customHeight="1" s="92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</row>
    <row r="914" ht="19.5" customHeight="1" s="92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</row>
    <row r="915" ht="19.5" customHeight="1" s="92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</row>
    <row r="916" ht="19.5" customHeight="1" s="92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</row>
    <row r="917" ht="19.5" customHeight="1" s="92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</row>
    <row r="918" ht="19.5" customHeight="1" s="92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</row>
    <row r="919" ht="19.5" customHeight="1" s="92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</row>
    <row r="920" ht="19.5" customHeight="1" s="92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</row>
    <row r="921" ht="19.5" customHeight="1" s="92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</row>
    <row r="922" ht="19.5" customHeight="1" s="9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</row>
    <row r="923" ht="19.5" customHeight="1" s="92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</row>
    <row r="924" ht="19.5" customHeight="1" s="92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</row>
    <row r="925" ht="19.5" customHeight="1" s="92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</row>
    <row r="926" ht="19.5" customHeight="1" s="92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</row>
    <row r="927" ht="19.5" customHeight="1" s="92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</row>
    <row r="928" ht="19.5" customHeight="1" s="92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</row>
    <row r="929" ht="19.5" customHeight="1" s="92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</row>
    <row r="930" ht="19.5" customHeight="1" s="92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</row>
    <row r="931" ht="19.5" customHeight="1" s="92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</row>
    <row r="932" ht="19.5" customHeight="1" s="9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</row>
    <row r="933" ht="19.5" customHeight="1" s="92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</row>
    <row r="934" ht="19.5" customHeight="1" s="92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</row>
    <row r="935" ht="19.5" customHeight="1" s="92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</row>
    <row r="936" ht="19.5" customHeight="1" s="92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</row>
    <row r="937" ht="19.5" customHeight="1" s="92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</row>
    <row r="938" ht="19.5" customHeight="1" s="92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</row>
    <row r="939" ht="19.5" customHeight="1" s="92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</row>
    <row r="940" ht="19.5" customHeight="1" s="92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</row>
    <row r="941" ht="19.5" customHeight="1" s="92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</row>
    <row r="942" ht="19.5" customHeight="1" s="9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</row>
    <row r="943" ht="19.5" customHeight="1" s="92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</row>
    <row r="944" ht="19.5" customHeight="1" s="92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</row>
    <row r="945" ht="19.5" customHeight="1" s="92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</row>
    <row r="946" ht="19.5" customHeight="1" s="92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</row>
    <row r="947" ht="19.5" customHeight="1" s="92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</row>
    <row r="948" ht="19.5" customHeight="1" s="92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</row>
    <row r="949" ht="19.5" customHeight="1" s="92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</row>
    <row r="950" ht="19.5" customHeight="1" s="92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</row>
    <row r="951" ht="19.5" customHeight="1" s="92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</row>
    <row r="952" ht="19.5" customHeight="1" s="9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</row>
    <row r="953" ht="19.5" customHeight="1" s="92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</row>
    <row r="954" ht="19.5" customHeight="1" s="92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</row>
    <row r="955" ht="19.5" customHeight="1" s="92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</row>
    <row r="956" ht="19.5" customHeight="1" s="92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</row>
    <row r="957" ht="19.5" customHeight="1" s="92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</row>
    <row r="958" ht="19.5" customHeight="1" s="92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</row>
    <row r="959" ht="19.5" customHeight="1" s="92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</row>
    <row r="960" ht="19.5" customHeight="1" s="92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</row>
    <row r="961" ht="19.5" customHeight="1" s="92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</row>
    <row r="962" ht="19.5" customHeight="1" s="9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</row>
    <row r="963" ht="19.5" customHeight="1" s="92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</row>
    <row r="964" ht="19.5" customHeight="1" s="92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</row>
    <row r="965" ht="19.5" customHeight="1" s="92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</row>
    <row r="966" ht="19.5" customHeight="1" s="92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</row>
    <row r="967" ht="19.5" customHeight="1" s="92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</row>
    <row r="968" ht="19.5" customHeight="1" s="92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</row>
    <row r="969" ht="19.5" customHeight="1" s="92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</row>
    <row r="970" ht="19.5" customHeight="1" s="92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</row>
    <row r="971" ht="19.5" customHeight="1" s="92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</row>
    <row r="972" ht="19.5" customHeight="1" s="9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</row>
    <row r="973" ht="19.5" customHeight="1" s="92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</row>
    <row r="974" ht="19.5" customHeight="1" s="92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</row>
    <row r="975" ht="19.5" customHeight="1" s="92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</row>
    <row r="976" ht="19.5" customHeight="1" s="92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</row>
    <row r="977" ht="19.5" customHeight="1" s="92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</row>
    <row r="978" ht="19.5" customHeight="1" s="92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</row>
    <row r="979" ht="19.5" customHeight="1" s="92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</row>
    <row r="980" ht="19.5" customHeight="1" s="92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</row>
    <row r="981" ht="19.5" customHeight="1" s="92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</row>
    <row r="982" ht="19.5" customHeight="1" s="9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</row>
    <row r="983" ht="19.5" customHeight="1" s="92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</row>
    <row r="984" ht="19.5" customHeight="1" s="92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</row>
    <row r="985" ht="19.5" customHeight="1" s="92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</row>
    <row r="986" ht="19.5" customHeight="1" s="92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</row>
    <row r="987" ht="19.5" customHeight="1" s="92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</row>
    <row r="988" ht="19.5" customHeight="1" s="92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</row>
    <row r="989" ht="19.5" customHeight="1" s="92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</row>
    <row r="990" ht="19.5" customHeight="1" s="92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</row>
    <row r="991" ht="19.5" customHeight="1" s="92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</row>
    <row r="992" ht="19.5" customHeight="1" s="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</row>
    <row r="993" ht="19.5" customHeight="1" s="92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</row>
    <row r="994" ht="19.5" customHeight="1" s="92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</row>
    <row r="995" ht="19.5" customHeight="1" s="92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</row>
    <row r="996" ht="19.5" customHeight="1" s="92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</row>
    <row r="997" ht="19.5" customHeight="1" s="92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</row>
    <row r="998" ht="19.5" customHeight="1" s="92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style="92" min="1" max="1"/>
    <col width="15" customWidth="1" style="92" min="2" max="2"/>
    <col width="40" customWidth="1" style="92" min="3" max="3"/>
    <col width="15" customWidth="1" style="92" min="4" max="4"/>
    <col width="15" customWidth="1" style="92" min="5" max="5"/>
    <col width="15" customWidth="1" style="92" min="6" max="6"/>
  </cols>
  <sheetData>
    <row r="1">
      <c r="A1" s="133" t="inlineStr">
        <is>
          <t>ПАРАМЕТРЫ ФИНМОДЕЛИ — кейс «Спортивные футболки»</t>
        </is>
      </c>
      <c r="B1" s="133" t="n"/>
      <c r="C1" s="133" t="inlineStr">
        <is>
          <t>D2C-бренд + маркетплейсы + B2B-экипировка. Горизонт 24 месяца, ₽</t>
        </is>
      </c>
      <c r="D1" s="133" t="n"/>
      <c r="E1" s="133" t="n"/>
      <c r="F1" s="133" t="n"/>
    </row>
    <row r="2">
      <c r="A2" s="134" t="inlineStr">
        <is>
          <t>Меняйте ТОЛЬКО жёлтые ячейки этого листа — весь ДДС пересчитается сам</t>
        </is>
      </c>
    </row>
    <row r="3">
      <c r="A3" s="135" t="inlineStr">
        <is>
          <t>1. ПРОДУКТ И ЮНИТ-ЭКОНОМИКА</t>
        </is>
      </c>
      <c r="B3" s="135" t="n"/>
      <c r="C3" s="135" t="n"/>
      <c r="D3" s="135" t="n"/>
      <c r="E3" s="135" t="n"/>
      <c r="F3" s="135" t="n"/>
    </row>
    <row r="4">
      <c r="A4" t="inlineStr">
        <is>
          <t>Товар 1 «Базовая» — средний чек</t>
        </is>
      </c>
      <c r="B4" s="136" t="n">
        <v>1890</v>
      </c>
      <c r="C4" s="137" t="inlineStr">
        <is>
          <t>розница: сайт + маркетплейсы</t>
        </is>
      </c>
    </row>
    <row r="5">
      <c r="A5" t="inlineStr">
        <is>
          <t>Товар 1 «Базовая» — себестоимость</t>
        </is>
      </c>
      <c r="B5" s="136" t="n">
        <v>680</v>
      </c>
      <c r="C5" s="137" t="inlineStr">
        <is>
          <t>полотно, пошив, печать, бирка, брак</t>
        </is>
      </c>
    </row>
    <row r="6">
      <c r="A6" t="inlineStr">
        <is>
          <t>Товар 2 «Pro / кастом-принт» — средний чек</t>
        </is>
      </c>
      <c r="B6" s="136" t="n">
        <v>3200</v>
      </c>
      <c r="C6" s="137" t="inlineStr">
        <is>
          <t>влагоотводящая ткань, кастом</t>
        </is>
      </c>
    </row>
    <row r="7">
      <c r="A7" t="inlineStr">
        <is>
          <t>Товар 2 «Pro / кастом-принт» — себестоимость</t>
        </is>
      </c>
      <c r="B7" s="136" t="n">
        <v>1200</v>
      </c>
    </row>
    <row r="8">
      <c r="A8" t="inlineStr">
        <is>
          <t>Товар 3 «B2B командная экипировка» — средний чек заказа</t>
        </is>
      </c>
      <c r="B8" s="136" t="n">
        <v>42000</v>
      </c>
      <c r="C8" s="137" t="inlineStr">
        <is>
          <t>партия от 20 шт</t>
        </is>
      </c>
    </row>
    <row r="9">
      <c r="A9" t="inlineStr">
        <is>
          <t>Товар 3 — себестоимость, % от чека</t>
        </is>
      </c>
      <c r="B9" s="138" t="n">
        <v>0.55</v>
      </c>
      <c r="C9" s="137" t="inlineStr">
        <is>
          <t>опт: маржа ниже, объём выше</t>
        </is>
      </c>
    </row>
    <row r="11">
      <c r="A11" s="139" t="inlineStr">
        <is>
          <t>2. ОБЪЁМЫ ПРОДАЖ И РОСТ</t>
        </is>
      </c>
      <c r="B11" s="140" t="n">
        <v>2</v>
      </c>
      <c r="C11" s="141" t="inlineStr">
        <is>
          <t>СЦЕНАРИЙ: 1 — пессимистичный, 2 — базовый, 3 — оптимистичный →</t>
        </is>
      </c>
      <c r="D11" s="142" t="inlineStr">
        <is>
          <t>1 — пессимистичный</t>
        </is>
      </c>
      <c r="E11" s="142" t="inlineStr">
        <is>
          <t>2 — базовый</t>
        </is>
      </c>
      <c r="F11" s="142" t="inlineStr">
        <is>
          <t>3 — оптимистичный</t>
        </is>
      </c>
    </row>
    <row r="12">
      <c r="A12" t="inlineStr">
        <is>
          <t>Товар 1 — продажи в 1-й месяц, шт</t>
        </is>
      </c>
      <c r="B12" s="143">
        <f>CHOOSE($B$11,D12,E12,F12)</f>
        <v/>
      </c>
      <c r="C12" s="137" t="inlineStr">
        <is>
          <t>≈ 20 шт/день на старте</t>
        </is>
      </c>
      <c r="D12" s="144" t="n">
        <v>520</v>
      </c>
      <c r="E12" s="144" t="n">
        <v>600</v>
      </c>
      <c r="F12" s="144" t="n">
        <v>700</v>
      </c>
    </row>
    <row r="13">
      <c r="A13" t="inlineStr">
        <is>
          <t>Товар 1 — рост продаж в месяц, 1-й год</t>
        </is>
      </c>
      <c r="B13" s="145">
        <f>CHOOSE($B$11,D13,E13,F13)</f>
        <v/>
      </c>
      <c r="D13" s="138" t="n">
        <v>0.11</v>
      </c>
      <c r="E13" s="138" t="n">
        <v>0.12</v>
      </c>
      <c r="F13" s="138" t="n">
        <v>0.14</v>
      </c>
    </row>
    <row r="14">
      <c r="A14" t="inlineStr">
        <is>
          <t>Товар 1 — рост продаж в месяц, 2-й год</t>
        </is>
      </c>
      <c r="B14" s="145">
        <f>CHOOSE($B$11,D14,E14,F14)</f>
        <v/>
      </c>
      <c r="C14" s="137" t="inlineStr">
        <is>
          <t>замедление на масштабе</t>
        </is>
      </c>
      <c r="D14" s="138" t="n">
        <v>0.04</v>
      </c>
      <c r="E14" s="138" t="n">
        <v>0.05</v>
      </c>
      <c r="F14" s="138" t="n">
        <v>0.06</v>
      </c>
    </row>
    <row r="15">
      <c r="A15" t="inlineStr">
        <is>
          <t>Товар 2 — старт продаж, № месяца</t>
        </is>
      </c>
      <c r="B15" s="146" t="n">
        <v>3</v>
      </c>
    </row>
    <row r="16">
      <c r="A16" t="inlineStr">
        <is>
          <t>Товар 2 — продажи в 1-й месяц запуска, шт</t>
        </is>
      </c>
      <c r="B16" s="143">
        <f>CHOOSE($B$11,D16,E16,F16)</f>
        <v/>
      </c>
      <c r="D16" s="144" t="n">
        <v>100</v>
      </c>
      <c r="E16" s="144" t="n">
        <v>120</v>
      </c>
      <c r="F16" s="144" t="n">
        <v>150</v>
      </c>
    </row>
    <row r="17">
      <c r="A17" t="inlineStr">
        <is>
          <t>Товар 2 — рост продаж в месяц, 1-й год</t>
        </is>
      </c>
      <c r="B17" s="145">
        <f>CHOOSE($B$11,D17,E17,F17)</f>
        <v/>
      </c>
      <c r="D17" s="138" t="n">
        <v>0.13</v>
      </c>
      <c r="E17" s="138" t="n">
        <v>0.15</v>
      </c>
      <c r="F17" s="138" t="n">
        <v>0.17</v>
      </c>
    </row>
    <row r="18">
      <c r="A18" t="inlineStr">
        <is>
          <t>Товар 2 — рост продаж в месяц, 2-й год</t>
        </is>
      </c>
      <c r="B18" s="138" t="n">
        <v>0.07000000000000001</v>
      </c>
    </row>
    <row r="19">
      <c r="A19" t="inlineStr">
        <is>
          <t>Товар 3 (B2B) — старт продаж, № месяца</t>
        </is>
      </c>
      <c r="B19" s="146" t="n">
        <v>5</v>
      </c>
      <c r="C19" s="137" t="inlineStr">
        <is>
          <t>после первых отзывов и портфолио</t>
        </is>
      </c>
    </row>
    <row r="20">
      <c r="A20" t="inlineStr">
        <is>
          <t>Товар 3 (B2B) — заказов в 1-й месяц запуска, шт</t>
        </is>
      </c>
      <c r="B20" s="143">
        <f>CHOOSE($B$11,D20,E20,F20)</f>
        <v/>
      </c>
      <c r="D20" s="144" t="n">
        <v>4</v>
      </c>
      <c r="E20" s="144" t="n">
        <v>5</v>
      </c>
      <c r="F20" s="144" t="n">
        <v>7</v>
      </c>
    </row>
    <row r="21">
      <c r="A21" t="inlineStr">
        <is>
          <t>Товар 3 (B2B) — рост выручки в месяц</t>
        </is>
      </c>
      <c r="B21" s="138" t="n">
        <v>0.1</v>
      </c>
    </row>
    <row r="23">
      <c r="A23" s="135" t="inlineStr">
        <is>
          <t>3. КОМАНДА — 6 ЧЕЛОВЕК (оклады gross, ₽/мес)</t>
        </is>
      </c>
      <c r="B23" s="135" t="n"/>
      <c r="C23" s="135" t="n"/>
      <c r="D23" s="135" t="n"/>
      <c r="E23" s="135" t="n"/>
      <c r="F23" s="135" t="n"/>
    </row>
    <row r="24">
      <c r="A24" t="inlineStr">
        <is>
          <t>1. Руководитель проекта (CEO) — оклад</t>
        </is>
      </c>
      <c r="B24" s="136" t="n">
        <v>120000</v>
      </c>
      <c r="C24" s="137" t="inlineStr">
        <is>
          <t>строка ДДС «ЗП Руководителя»</t>
        </is>
      </c>
    </row>
    <row r="25">
      <c r="A25" t="inlineStr">
        <is>
          <t>2. Менеджер по продажам 1 — оклад</t>
        </is>
      </c>
      <c r="B25" s="136" t="n">
        <v>45000</v>
      </c>
      <c r="C25" s="137" t="inlineStr">
        <is>
          <t>с 1-го месяца</t>
        </is>
      </c>
    </row>
    <row r="26">
      <c r="A26" t="inlineStr">
        <is>
          <t>2. Менеджер по продажам 1 — % от выручки</t>
        </is>
      </c>
      <c r="B26" s="138" t="n">
        <v>0.02</v>
      </c>
    </row>
    <row r="27">
      <c r="A27" t="inlineStr">
        <is>
          <t>3. Менеджер по продажам 2 — оклад</t>
        </is>
      </c>
      <c r="B27" s="136" t="n">
        <v>45000</v>
      </c>
    </row>
    <row r="28">
      <c r="A28" t="inlineStr">
        <is>
          <t>3. Менеджер по продажам 2 — % от выручки</t>
        </is>
      </c>
      <c r="B28" s="138" t="n">
        <v>0.02</v>
      </c>
    </row>
    <row r="29">
      <c r="A29" t="inlineStr">
        <is>
          <t>3. Менеджер по продажам 2 — выход, № месяца</t>
        </is>
      </c>
      <c r="B29" s="146" t="n">
        <v>3</v>
      </c>
      <c r="C29" s="137" t="inlineStr">
        <is>
          <t>нанимаем под запуск товара 2</t>
        </is>
      </c>
    </row>
    <row r="30">
      <c r="A30" t="inlineStr">
        <is>
          <t>4. Маркетолог — оклад</t>
        </is>
      </c>
      <c r="B30" s="136" t="n">
        <v>70000</v>
      </c>
    </row>
    <row r="31">
      <c r="A31" t="inlineStr">
        <is>
          <t>4. Маркетолог — % от выручки</t>
        </is>
      </c>
      <c r="B31" s="138" t="n">
        <v>0.01</v>
      </c>
    </row>
    <row r="32">
      <c r="A32" t="inlineStr">
        <is>
          <t>5. Разработчик / поддержка сайта — оклад</t>
        </is>
      </c>
      <c r="B32" s="136" t="n">
        <v>90000</v>
      </c>
      <c r="C32" s="137" t="inlineStr">
        <is>
          <t>строка ДДС «Разработка»</t>
        </is>
      </c>
    </row>
    <row r="33">
      <c r="A33" t="inlineStr">
        <is>
          <t>6. Дизайнер принтов и контента — оклад</t>
        </is>
      </c>
      <c r="B33" s="136" t="n">
        <v>65000</v>
      </c>
      <c r="C33" s="137" t="inlineStr">
        <is>
          <t>строка ДДС «Техническая поддержка»</t>
        </is>
      </c>
    </row>
    <row r="34">
      <c r="A34" t="inlineStr">
        <is>
          <t>Индексация окладов со 2-го года</t>
        </is>
      </c>
      <c r="B34" s="138" t="n">
        <v>0.1</v>
      </c>
    </row>
    <row r="35">
      <c r="A35" t="inlineStr">
        <is>
          <t>Страховые взносы, % от ФОТ</t>
        </is>
      </c>
      <c r="B35" s="138" t="n">
        <v>0.2</v>
      </c>
      <c r="C35" s="137" t="inlineStr">
        <is>
          <t>льготный тариф МСП (среднее)</t>
        </is>
      </c>
    </row>
    <row r="37">
      <c r="A37" s="135" t="inlineStr">
        <is>
          <t>4. МАРКЕТИНГ</t>
        </is>
      </c>
      <c r="B37" s="135" t="n"/>
      <c r="C37" s="135" t="n"/>
      <c r="D37" s="135" t="n"/>
      <c r="E37" s="135" t="n"/>
      <c r="F37" s="135" t="n"/>
    </row>
    <row r="38">
      <c r="A38" t="inlineStr">
        <is>
          <t>Реклама интернет, % от выручки</t>
        </is>
      </c>
      <c r="B38" s="138" t="n">
        <v>0.14</v>
      </c>
      <c r="C38" s="137" t="inlineStr">
        <is>
          <t>performance, таргет, блогеры</t>
        </is>
      </c>
    </row>
    <row r="39">
      <c r="A39" t="inlineStr">
        <is>
          <t>Реклама интернет — минимальный бюджет, ₽/мес</t>
        </is>
      </c>
      <c r="B39" s="136" t="n">
        <v>350000</v>
      </c>
      <c r="C39" s="137" t="inlineStr">
        <is>
          <t>разгон трафика на старте</t>
        </is>
      </c>
    </row>
    <row r="40">
      <c r="A40" t="inlineStr">
        <is>
          <t>Реклама оффлайн, ₽/мес</t>
        </is>
      </c>
      <c r="B40" s="136" t="n">
        <v>80000</v>
      </c>
      <c r="C40" s="137" t="inlineStr">
        <is>
          <t>забеги, спортклубы, амбассадоры</t>
        </is>
      </c>
    </row>
    <row r="41">
      <c r="A41" t="inlineStr">
        <is>
          <t>Реклама оффлайн — старт, № месяца</t>
        </is>
      </c>
      <c r="B41" s="146" t="n">
        <v>5</v>
      </c>
    </row>
    <row r="42">
      <c r="A42" t="inlineStr">
        <is>
          <t>SEO-продвижение, ₽/мес</t>
        </is>
      </c>
      <c r="B42" s="136" t="n">
        <v>60000</v>
      </c>
    </row>
    <row r="43">
      <c r="A43" t="inlineStr">
        <is>
          <t>SEO — старт, № месяца</t>
        </is>
      </c>
      <c r="B43" s="146" t="n">
        <v>2</v>
      </c>
    </row>
    <row r="45">
      <c r="A45" s="135" t="inlineStr">
        <is>
          <t>5. IT, АДМИНИСТРАТИВНЫЕ И ОПЕРАЦИОННЫЕ РАСХОДЫ</t>
        </is>
      </c>
      <c r="B45" s="135" t="n"/>
      <c r="C45" s="135" t="n"/>
      <c r="D45" s="135" t="n"/>
      <c r="E45" s="135" t="n"/>
      <c r="F45" s="135" t="n"/>
    </row>
    <row r="46">
      <c r="A46" t="inlineStr">
        <is>
          <t>Хостинг и домен, ₽/мес</t>
        </is>
      </c>
      <c r="B46" s="136" t="n">
        <v>8000</v>
      </c>
    </row>
    <row r="47">
      <c r="A47" t="inlineStr">
        <is>
          <t>Аренда сервера, CRM и сервисы, ₽/мес</t>
        </is>
      </c>
      <c r="B47" s="136" t="n">
        <v>12000</v>
      </c>
    </row>
    <row r="48">
      <c r="A48" t="inlineStr">
        <is>
          <t>Бухобслуживание (аутсорс), ₽/мес</t>
        </is>
      </c>
      <c r="B48" s="136" t="n">
        <v>25000</v>
      </c>
    </row>
    <row r="49">
      <c r="A49" t="inlineStr">
        <is>
          <t>Эквайринг и комиссии маркетплейсов, % от B2C-выручки</t>
        </is>
      </c>
      <c r="B49" s="138" t="n">
        <v>0.09</v>
      </c>
      <c r="C49" s="137" t="inlineStr">
        <is>
          <t>≈ половина продаж через маркетплейсы</t>
        </is>
      </c>
    </row>
    <row r="50">
      <c r="A50" t="inlineStr">
        <is>
          <t>Аренда офиса и мини-склада, ₽/мес</t>
        </is>
      </c>
      <c r="B50" s="136" t="n">
        <v>90000</v>
      </c>
    </row>
    <row r="51">
      <c r="A51" t="inlineStr">
        <is>
          <t>Канцелярия, ПО и прочее, ₽/мес</t>
        </is>
      </c>
      <c r="B51" s="136" t="n">
        <v>15000</v>
      </c>
    </row>
    <row r="52">
      <c r="A52" t="inlineStr">
        <is>
          <t>Связь и интернет, ₽/мес</t>
        </is>
      </c>
      <c r="B52" s="136" t="n">
        <v>12000</v>
      </c>
    </row>
    <row r="53">
      <c r="A53" t="inlineStr">
        <is>
          <t>Логистика и фулфилмент, % от выручки</t>
        </is>
      </c>
      <c r="B53" s="138" t="n">
        <v>0.06</v>
      </c>
      <c r="C53" s="137" t="inlineStr">
        <is>
          <t>часть доставки платит покупатель</t>
        </is>
      </c>
    </row>
    <row r="54">
      <c r="A54" t="inlineStr">
        <is>
          <t>Упаковка, брак и возвраты, % от B2C-выручки</t>
        </is>
      </c>
      <c r="B54" s="138" t="n">
        <v>0.05</v>
      </c>
    </row>
    <row r="55">
      <c r="A55" t="inlineStr">
        <is>
          <t>Первоначальный товарный запас (1 = формируем, 0 = нет)</t>
        </is>
      </c>
      <c r="B55" s="146" t="n">
        <v>1</v>
      </c>
      <c r="C55" s="137" t="inlineStr">
        <is>
          <t>в мес. 1 закупаем товар ещё и под продажи мес. 2</t>
        </is>
      </c>
    </row>
    <row r="57">
      <c r="A57" s="135" t="inlineStr">
        <is>
          <t>6. НАЛОГИ</t>
        </is>
      </c>
      <c r="B57" s="135" t="n"/>
      <c r="C57" s="135" t="n"/>
      <c r="D57" s="135" t="n"/>
      <c r="E57" s="135" t="n"/>
      <c r="F57" s="135" t="n"/>
    </row>
    <row r="58">
      <c r="A58" t="inlineStr">
        <is>
          <t>УСН «Доходы минус расходы», ставка</t>
        </is>
      </c>
      <c r="B58" s="138" t="n">
        <v>0.15</v>
      </c>
    </row>
    <row r="59">
      <c r="A59" t="inlineStr">
        <is>
          <t>Минимальный налог, % от доходов</t>
        </is>
      </c>
      <c r="B59" s="138" t="n">
        <v>0.01</v>
      </c>
      <c r="C59" s="137" t="inlineStr">
        <is>
          <t>платим, если он больше расчётного</t>
        </is>
      </c>
    </row>
    <row r="61">
      <c r="A61" s="135" t="inlineStr">
        <is>
          <t>7. УСЛОВИЯ СДЕЛКИ С ИНВЕСТОРОМ</t>
        </is>
      </c>
      <c r="B61" s="135" t="n"/>
      <c r="C61" s="135" t="n"/>
      <c r="D61" s="135" t="n"/>
      <c r="E61" s="135" t="n"/>
      <c r="F61" s="135" t="n"/>
    </row>
    <row r="62">
      <c r="A62" t="inlineStr">
        <is>
          <t>Запас прочности к пиковой потребности</t>
        </is>
      </c>
      <c r="B62" s="138" t="n">
        <v>0.25</v>
      </c>
      <c r="C62" s="137" t="inlineStr">
        <is>
          <t>буфер на отклонение от плана</t>
        </is>
      </c>
    </row>
    <row r="63">
      <c r="A63" t="inlineStr">
        <is>
          <t>Доля 1-го транша (месяц 1)</t>
        </is>
      </c>
      <c r="B63" s="138" t="n">
        <v>0.8</v>
      </c>
    </row>
    <row r="64">
      <c r="A64" t="inlineStr">
        <is>
          <t>2-й транш — № месяца</t>
        </is>
      </c>
      <c r="B64" s="146" t="n">
        <v>6</v>
      </c>
      <c r="C64" s="137" t="inlineStr">
        <is>
          <t>по достижении KPI по выручке</t>
        </is>
      </c>
    </row>
    <row r="65">
      <c r="A65" t="inlineStr">
        <is>
          <t>Коэффициент возврата инвестору, ×</t>
        </is>
      </c>
      <c r="B65" s="147" t="n">
        <v>1.8</v>
      </c>
      <c r="C65" s="137" t="inlineStr">
        <is>
          <t>возвращаем тело + доход: 1,8× вложенного</t>
        </is>
      </c>
    </row>
    <row r="66">
      <c r="A66" t="inlineStr">
        <is>
          <t>Доля операционного потока на возврат инвестору</t>
        </is>
      </c>
      <c r="B66" s="138" t="n">
        <v>0.75</v>
      </c>
    </row>
    <row r="67">
      <c r="A67" t="inlineStr">
        <is>
          <t>Неснижаемый остаток на счёте (подушка), ₽</t>
        </is>
      </c>
      <c r="B67" s="136" t="n">
        <v>300000</v>
      </c>
    </row>
    <row r="68">
      <c r="A68" t="inlineStr">
        <is>
          <t>Ставка дисконтирования, % годовых</t>
        </is>
      </c>
      <c r="B68" s="138" t="n">
        <v>0.25</v>
      </c>
      <c r="C68" s="137" t="inlineStr">
        <is>
          <t>для NPV</t>
        </is>
      </c>
    </row>
    <row r="69">
      <c r="A69" t="inlineStr">
        <is>
          <t>Доля инвестора в капитале</t>
        </is>
      </c>
      <c r="B69" s="138" t="n">
        <v>0.2</v>
      </c>
      <c r="C69" s="137" t="inlineStr">
        <is>
          <t>для оценки post-money</t>
        </is>
      </c>
    </row>
    <row r="70">
      <c r="A70" t="inlineStr">
        <is>
          <t>Сальдо на начало проекта, ₽</t>
        </is>
      </c>
      <c r="B70" s="136" t="n">
        <v>0</v>
      </c>
      <c r="C70" s="137" t="inlineStr">
        <is>
          <t>собственных средств нет</t>
        </is>
      </c>
    </row>
    <row r="72">
      <c r="A72" s="135" t="inlineStr">
        <is>
          <t>8. ЮНИТ-ЭКОНОМИКА (расчёт)</t>
        </is>
      </c>
      <c r="B72" s="135" t="n"/>
      <c r="C72" s="135" t="n"/>
      <c r="D72" s="135" t="n"/>
      <c r="E72" s="135" t="n"/>
      <c r="F72" s="135" t="n"/>
    </row>
    <row r="73">
      <c r="A73" t="inlineStr">
        <is>
          <t>Маржа с товара 1, ₽</t>
        </is>
      </c>
      <c r="B73" s="148">
        <f>B4-B5</f>
        <v/>
      </c>
    </row>
    <row r="74">
      <c r="A74" t="inlineStr">
        <is>
          <t>Маржа с товара 1, %</t>
        </is>
      </c>
      <c r="B74" s="149">
        <f>IF(B4=0,0,(B4-B5)/B4)</f>
        <v/>
      </c>
    </row>
    <row r="75">
      <c r="A75" t="inlineStr">
        <is>
          <t>Маржа с товара 2, ₽</t>
        </is>
      </c>
      <c r="B75" s="148">
        <f>B6-B7</f>
        <v/>
      </c>
    </row>
    <row r="76">
      <c r="A76" t="inlineStr">
        <is>
          <t>Маржа с товара 2, %</t>
        </is>
      </c>
      <c r="B76" s="149">
        <f>IF(B6=0,0,(B6-B7)/B6)</f>
        <v/>
      </c>
    </row>
    <row r="77">
      <c r="A77" t="inlineStr">
        <is>
          <t>Маржа с B2B-заказа, ₽</t>
        </is>
      </c>
      <c r="B77" s="148">
        <f>B8*(1-B9)</f>
        <v/>
      </c>
    </row>
    <row r="78">
      <c r="A78" t="inlineStr">
        <is>
          <t>Маржа с B2B-заказа, %</t>
        </is>
      </c>
      <c r="B78" s="149">
        <f>1-B9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4" customWidth="1" style="92" min="1" max="1"/>
    <col width="18" customWidth="1" style="92" min="2" max="2"/>
    <col width="84" customWidth="1" style="92" min="3" max="3"/>
  </cols>
  <sheetData>
    <row r="1" s="92">
      <c r="A1" s="150" t="inlineStr">
        <is>
          <t>ПИТЧ ИНВЕСТОРУ — «СПОРТИВНЫЕ ФУТБОЛКИ»</t>
        </is>
      </c>
      <c r="B1" s="150" t="n"/>
      <c r="C1" s="150" t="n"/>
    </row>
    <row r="2" s="92">
      <c r="A2" t="inlineStr"/>
    </row>
    <row r="3" ht="30" customHeight="1" s="92">
      <c r="A3" s="151" t="inlineStr">
        <is>
          <t>Проблема</t>
        </is>
      </c>
      <c r="C3" s="152" t="inlineStr">
        <is>
          <t>Спортивная одежда в РФ после ухода мировых брендов: покупатель хочет качество и быструю кастомизацию, а получает либо дорогой импорт, либо безликий ноунейм.</t>
        </is>
      </c>
    </row>
    <row r="4" ht="30" customHeight="1" s="92">
      <c r="A4" s="151" t="inlineStr">
        <is>
          <t>Решение</t>
        </is>
      </c>
      <c r="C4" s="152" t="inlineStr">
        <is>
          <t>D2C-бренд спортивных футболок: собственный сайт + маркетплейсы + печать под заказ. Срок от заказа до отгрузки — 3 дня, кастом-принт от 1 шт.</t>
        </is>
      </c>
    </row>
    <row r="5" ht="30" customHeight="1" s="92">
      <c r="A5" s="151" t="inlineStr">
        <is>
          <t>Продукт</t>
        </is>
      </c>
      <c r="C5" s="152" t="inlineStr">
        <is>
          <t>1) «Базовая» — массовый спрос; 2) «Pro / кастом-принт» — высокая маржа; 3) B2B — экипировка для команд, клубов и корпоративных забегов.</t>
        </is>
      </c>
    </row>
    <row r="6" ht="30" customHeight="1" s="92">
      <c r="A6" s="151" t="inlineStr">
        <is>
          <t>Бизнес-модель</t>
        </is>
      </c>
      <c r="C6" s="152" t="inlineStr">
        <is>
          <t>Контрактное производство (без CAPEX на оборудование) + собственный трафик. Деньги инвестора идут в товарный запас и маркетинг, а не в железо.</t>
        </is>
      </c>
    </row>
    <row r="7" s="92">
      <c r="A7" t="inlineStr"/>
    </row>
    <row r="8" s="92">
      <c r="A8" s="135" t="inlineStr">
        <is>
          <t>ЮНИТ-ЭКОНОМИКА</t>
        </is>
      </c>
      <c r="B8" s="135" t="n"/>
      <c r="C8" s="135" t="n"/>
    </row>
    <row r="9" s="92">
      <c r="A9" t="inlineStr">
        <is>
          <t>Средний чек «Базовая»</t>
        </is>
      </c>
      <c r="B9" s="153">
        <f>Параметры!B4</f>
        <v/>
      </c>
      <c r="C9" s="137" t="inlineStr">
        <is>
          <t>розница, сайт и маркетплейсы</t>
        </is>
      </c>
    </row>
    <row r="10" s="92">
      <c r="A10" t="inlineStr">
        <is>
          <t>Маржа «Базовая»</t>
        </is>
      </c>
      <c r="B10" s="154">
        <f>Параметры!B74</f>
        <v/>
      </c>
    </row>
    <row r="11" s="92">
      <c r="A11" t="inlineStr">
        <is>
          <t>Маржа «Pro / кастом»</t>
        </is>
      </c>
      <c r="B11" s="154">
        <f>Параметры!B76</f>
        <v/>
      </c>
    </row>
    <row r="12" s="92">
      <c r="A12" t="inlineStr">
        <is>
          <t>Маржа B2B-заказа</t>
        </is>
      </c>
      <c r="B12" s="154">
        <f>Параметры!B78</f>
        <v/>
      </c>
    </row>
    <row r="13" s="92">
      <c r="A13" t="inlineStr">
        <is>
          <t>Средняя валовая маржа проекта</t>
        </is>
      </c>
      <c r="B13" s="154">
        <f>ДДС!B79</f>
        <v/>
      </c>
    </row>
    <row r="14" s="92">
      <c r="A14" t="inlineStr"/>
    </row>
    <row r="15" s="92">
      <c r="A15" s="135" t="inlineStr">
        <is>
          <t>КОМАНДА — 6 ЧЕЛОВЕК</t>
        </is>
      </c>
      <c r="B15" s="135" t="n"/>
      <c r="C15" s="135" t="n"/>
    </row>
    <row r="16" s="92">
      <c r="A16" t="inlineStr">
        <is>
          <t>1. Руководитель проекта (CEO)</t>
        </is>
      </c>
      <c r="B16" s="153">
        <f>Параметры!B24</f>
        <v/>
      </c>
      <c r="C16" s="137" t="inlineStr">
        <is>
          <t>стратегия, продукт, инвестор</t>
        </is>
      </c>
    </row>
    <row r="17" s="92">
      <c r="A17" t="inlineStr">
        <is>
          <t>2. Менеджер по продажам 1</t>
        </is>
      </c>
      <c r="B17" s="153">
        <f>Параметры!B25</f>
        <v/>
      </c>
      <c r="C17" s="137" t="inlineStr">
        <is>
          <t>розница и маркетплейсы, + % от выручки</t>
        </is>
      </c>
    </row>
    <row r="18" s="92">
      <c r="A18" t="inlineStr">
        <is>
          <t>3. Менеджер по продажам 2</t>
        </is>
      </c>
      <c r="B18" s="153">
        <f>Параметры!B27</f>
        <v/>
      </c>
      <c r="C18" s="137" t="inlineStr">
        <is>
          <t>B2B-направление, выходит с 4-го месяца</t>
        </is>
      </c>
    </row>
    <row r="19" s="92">
      <c r="A19" t="inlineStr">
        <is>
          <t>4. Маркетолог</t>
        </is>
      </c>
      <c r="B19" s="153">
        <f>Параметры!B30</f>
        <v/>
      </c>
      <c r="C19" s="137" t="inlineStr">
        <is>
          <t>трафик, бренд, амбассадоры, + % от выручки</t>
        </is>
      </c>
    </row>
    <row r="20" s="92">
      <c r="A20" t="inlineStr">
        <is>
          <t>5. Разработчик / поддержка сайта</t>
        </is>
      </c>
      <c r="B20" s="153">
        <f>Параметры!B32</f>
        <v/>
      </c>
      <c r="C20" s="137" t="inlineStr">
        <is>
          <t>сайт, интеграции с маркетплейсами</t>
        </is>
      </c>
    </row>
    <row r="21" s="92">
      <c r="A21" t="inlineStr">
        <is>
          <t>6. Дизайнер принтов и контента</t>
        </is>
      </c>
      <c r="B21" s="153">
        <f>Параметры!B33</f>
        <v/>
      </c>
      <c r="C21" s="137" t="inlineStr">
        <is>
          <t>коллекции, визуал, кастом-макеты</t>
        </is>
      </c>
    </row>
    <row r="22" s="92">
      <c r="A22" t="inlineStr">
        <is>
          <t>Итого ФОТ первого месяца (с взносами)</t>
        </is>
      </c>
      <c r="B22" s="153">
        <f>ДДС!B34+ДДС!B13+ДДС!B14+ДДС!B19</f>
        <v/>
      </c>
    </row>
    <row r="23" s="92">
      <c r="A23" t="inlineStr"/>
    </row>
    <row r="24" s="92">
      <c r="A24" s="135" t="inlineStr">
        <is>
          <t>ЗАПРОС И УСЛОВИЯ СДЕЛКИ</t>
        </is>
      </c>
      <c r="B24" s="135" t="n"/>
      <c r="C24" s="135" t="n"/>
    </row>
    <row r="25" s="92">
      <c r="A25" t="inlineStr">
        <is>
          <t>Требуемые инвестиции</t>
        </is>
      </c>
      <c r="B25" s="153">
        <f>ДДС!B62</f>
        <v/>
      </c>
      <c r="C25" s="137" t="inlineStr">
        <is>
          <t>двумя траншами, под KPI по выручке</t>
        </is>
      </c>
    </row>
    <row r="26" s="92">
      <c r="A26" t="inlineStr">
        <is>
          <t>Транш 1 (месяц 1)</t>
        </is>
      </c>
      <c r="B26" s="153">
        <f>ДДС!B63</f>
        <v/>
      </c>
      <c r="C26" s="137" t="inlineStr">
        <is>
          <t>товарный запас + разгон трафика</t>
        </is>
      </c>
    </row>
    <row r="27" s="92">
      <c r="A27" t="inlineStr">
        <is>
          <t>Транш 2</t>
        </is>
      </c>
      <c r="B27" s="153">
        <f>ДДС!B64</f>
        <v/>
      </c>
      <c r="C27" s="137" t="inlineStr">
        <is>
          <t>масштабирование после подтверждения спроса</t>
        </is>
      </c>
    </row>
    <row r="28" s="92">
      <c r="A28" t="inlineStr">
        <is>
          <t>Возврат инвестору за 24 мес.</t>
        </is>
      </c>
      <c r="B28" s="153">
        <f>ДДС!B67</f>
        <v/>
      </c>
      <c r="C28" s="137" t="inlineStr">
        <is>
          <t>из операционного потока</t>
        </is>
      </c>
    </row>
    <row r="29" s="92">
      <c r="A29" t="inlineStr">
        <is>
          <t>Доход инвестора</t>
        </is>
      </c>
      <c r="B29" s="153">
        <f>ДДС!B69</f>
        <v/>
      </c>
    </row>
    <row r="30" s="92">
      <c r="A30" t="inlineStr">
        <is>
          <t>ROI инвестора за 24 мес.</t>
        </is>
      </c>
      <c r="B30" s="154">
        <f>ДДС!B70</f>
        <v/>
      </c>
    </row>
    <row r="31" s="92">
      <c r="A31" t="inlineStr">
        <is>
          <t>IRR инвестора, % годовых</t>
        </is>
      </c>
      <c r="B31" s="154">
        <f>ДДС!B71</f>
        <v/>
      </c>
    </row>
    <row r="32" s="92">
      <c r="A32" t="inlineStr">
        <is>
          <t>Альтернатива: оценка post-money</t>
        </is>
      </c>
      <c r="B32" s="153">
        <f>ДДС!B84</f>
        <v/>
      </c>
      <c r="C32" s="137" t="inlineStr">
        <is>
          <t>при доле инвестора на листе Параметры</t>
        </is>
      </c>
    </row>
    <row r="33" s="92">
      <c r="A33" t="inlineStr"/>
    </row>
    <row r="34" s="92">
      <c r="A34" s="135" t="inlineStr">
        <is>
          <t>ЭКОНОМИКА ПРОЕКТА ЗА 24 МЕСЯЦА</t>
        </is>
      </c>
      <c r="B34" s="135" t="n"/>
      <c r="C34" s="135" t="n"/>
    </row>
    <row r="35" s="92">
      <c r="A35" t="inlineStr">
        <is>
          <t>Сценарий модели (1 песс. / 2 базовый / 3 опт.)</t>
        </is>
      </c>
      <c r="B35" s="155">
        <f>Параметры!B11</f>
        <v/>
      </c>
      <c r="C35" s="137" t="inlineStr">
        <is>
          <t>переключается одной ячейкой на листе «Параметры»</t>
        </is>
      </c>
    </row>
    <row r="36" s="92">
      <c r="A36" t="inlineStr">
        <is>
          <t>Выручка за 24 месяца</t>
        </is>
      </c>
      <c r="B36" s="153">
        <f>ДДС!B77</f>
        <v/>
      </c>
    </row>
    <row r="37" s="92">
      <c r="A37" t="inlineStr">
        <is>
          <t>Выручка в 24-м месяце (run-rate)</t>
        </is>
      </c>
      <c r="B37" s="153">
        <f>ДДС!B78</f>
        <v/>
      </c>
    </row>
    <row r="38" s="92">
      <c r="A38" t="inlineStr">
        <is>
          <t>Операционная прибыль за 24 месяца</t>
        </is>
      </c>
      <c r="B38" s="153">
        <f>ДДС!B80</f>
        <v/>
      </c>
    </row>
    <row r="39" s="92">
      <c r="A39" t="inlineStr">
        <is>
          <t>Рентабельность по операционному потоку</t>
        </is>
      </c>
      <c r="B39" s="154">
        <f>ДДС!B81</f>
        <v/>
      </c>
    </row>
    <row r="40" s="92">
      <c r="A40" t="inlineStr">
        <is>
          <t>NPV проекта (ставка 25% годовых)</t>
        </is>
      </c>
      <c r="B40" s="153">
        <f>ДДС!B73</f>
        <v/>
      </c>
    </row>
    <row r="41" s="92">
      <c r="A41" t="inlineStr">
        <is>
          <t>Месяц выхода в операционный плюс</t>
        </is>
      </c>
      <c r="B41" s="155">
        <f>ДДС!B74</f>
        <v/>
      </c>
    </row>
    <row r="42" s="92">
      <c r="A42" t="inlineStr">
        <is>
          <t>Месяц окупаемости проекта</t>
        </is>
      </c>
      <c r="B42" s="155">
        <f>ДДС!B75</f>
        <v/>
      </c>
    </row>
    <row r="43" s="92">
      <c r="A43" t="inlineStr">
        <is>
          <t>Месяц полного возврата инвестору</t>
        </is>
      </c>
      <c r="B43" s="155">
        <f>ДДС!B76</f>
        <v/>
      </c>
    </row>
    <row r="44" s="92">
      <c r="A44" t="inlineStr">
        <is>
          <t>Минимальный остаток на счёте</t>
        </is>
      </c>
      <c r="B44" s="153">
        <f>ДДС!B82</f>
        <v/>
      </c>
    </row>
    <row r="45" s="92">
      <c r="A45" t="inlineStr">
        <is>
          <t>Проверка достаточности денег</t>
        </is>
      </c>
      <c r="B45" s="155">
        <f>ДДС!B83</f>
        <v/>
      </c>
    </row>
    <row r="46" s="92">
      <c r="A46" t="inlineStr"/>
    </row>
    <row r="47" s="92">
      <c r="A47" s="135" t="inlineStr">
        <is>
          <t>РИСКИ И ОТВЕТ НА НИХ</t>
        </is>
      </c>
      <c r="B47" s="135" t="n"/>
      <c r="C47" s="135" t="n"/>
    </row>
    <row r="48" ht="30" customHeight="1" s="92">
      <c r="A48" s="151" t="inlineStr">
        <is>
          <t>Спрос ниже плана</t>
        </is>
      </c>
      <c r="C48" s="152" t="inlineStr">
        <is>
          <t>Модель на формулах: снижаем рост продаж на листе «Параметры» и сразу видим новую потребность в деньгах. Реклама привязана к % от выручки — бюджет не «горит».</t>
        </is>
      </c>
    </row>
    <row r="49" ht="30" customHeight="1" s="92">
      <c r="A49" s="151" t="inlineStr">
        <is>
          <t>Рост себестоимости / курс</t>
        </is>
      </c>
      <c r="C49" s="152" t="inlineStr">
        <is>
          <t>Контрактное производство в РФ, два поставщика, себестоимость — параметр модели.</t>
        </is>
      </c>
    </row>
    <row r="50" ht="30" customHeight="1" s="92">
      <c r="A50" s="151" t="inlineStr">
        <is>
          <t>Кассовый разрыв</t>
        </is>
      </c>
      <c r="C50" s="152" t="inlineStr">
        <is>
          <t>Неснижаемый остаток на счёте и возврат инвестору только из операционного потока.</t>
        </is>
      </c>
    </row>
    <row r="51" ht="30" customHeight="1" s="92">
      <c r="A51" s="151" t="inlineStr">
        <is>
          <t>Уход ключевого человека</t>
        </is>
      </c>
      <c r="C51" s="152" t="inlineStr">
        <is>
          <t>Команда 6 человек, у продавцов и маркетолога % от выручки — доход привязан к результату.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adamchik</dc:creator>
  <dcterms:created xsi:type="dcterms:W3CDTF">2009-08-25T08:26:45Z</dcterms:created>
  <dcterms:modified xsi:type="dcterms:W3CDTF">2026-09-10T16:32:10Z</dcterms:modified>
</cp:coreProperties>
</file>