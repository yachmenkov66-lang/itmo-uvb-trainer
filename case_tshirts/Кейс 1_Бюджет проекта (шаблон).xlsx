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ДС" sheetId="1" r:id="rId4"/>
  </sheets>
  <definedNames/>
  <calcPr/>
  <extLst>
    <ext uri="GoogleSheetsCustomDataVersion2">
      <go:sheetsCustomData xmlns:go="http://customooxmlschemas.google.com/" r:id="rId5" roundtripDataChecksum="aNNjlI21jkmBe1hsH+KDtfAmNZPy8YXVr+OtNbJW20s="/>
    </ext>
  </extLst>
</workbook>
</file>

<file path=xl/sharedStrings.xml><?xml version="1.0" encoding="utf-8"?>
<sst xmlns="http://schemas.openxmlformats.org/spreadsheetml/2006/main" count="48" uniqueCount="45">
  <si>
    <t>месяц</t>
  </si>
  <si>
    <t>ПРИХОД</t>
  </si>
  <si>
    <t>Продажа товара 1</t>
  </si>
  <si>
    <t>Количество продаж</t>
  </si>
  <si>
    <t>Cредний чек</t>
  </si>
  <si>
    <t>Продажа товара 2</t>
  </si>
  <si>
    <t>Средний чек</t>
  </si>
  <si>
    <t>Продажа товара 3</t>
  </si>
  <si>
    <t>ИНВЕСТИЦИИ</t>
  </si>
  <si>
    <t>ПРИХОД ИТОГО</t>
  </si>
  <si>
    <t>РАСХОД</t>
  </si>
  <si>
    <t>Разработка</t>
  </si>
  <si>
    <t>Техническая поддержка</t>
  </si>
  <si>
    <t>Хостинг</t>
  </si>
  <si>
    <t>Аренда сервера</t>
  </si>
  <si>
    <t>ИТОГО расходы на ИТ</t>
  </si>
  <si>
    <t>Бухобслуживание</t>
  </si>
  <si>
    <t>Налоги з/п</t>
  </si>
  <si>
    <t>Налоги прочее</t>
  </si>
  <si>
    <t>Эквайринг</t>
  </si>
  <si>
    <t>ИТОГО расходы на бухгалтерию</t>
  </si>
  <si>
    <t>Реклама интернет</t>
  </si>
  <si>
    <t>Реклама оффлайн</t>
  </si>
  <si>
    <t>SЕО Продвижение</t>
  </si>
  <si>
    <t>ИТОГО расходы на рекламу</t>
  </si>
  <si>
    <t>Зп менеджер по продажам 1 (%)</t>
  </si>
  <si>
    <t>Зп менеджер по продажам 2 (%)</t>
  </si>
  <si>
    <t>Зп маркетолог (%)</t>
  </si>
  <si>
    <t>Зп менеджер по продажам 1 (оклад)</t>
  </si>
  <si>
    <t>Зп менеджер по продажам 2 (оклад)</t>
  </si>
  <si>
    <t>Зп маркетолог (оклад)</t>
  </si>
  <si>
    <t>ЗП Руководителя</t>
  </si>
  <si>
    <t>ИТОГО расходы на ФОТ</t>
  </si>
  <si>
    <t>Аренда офиса</t>
  </si>
  <si>
    <t>Канцелярия и прочие расходы</t>
  </si>
  <si>
    <t>Связь и интернет</t>
  </si>
  <si>
    <t>ИТОГО админастративные расходы</t>
  </si>
  <si>
    <t>Расход</t>
  </si>
  <si>
    <t>ИТОГО прочие расходы</t>
  </si>
  <si>
    <t>ВОЗВРАТ ИНВЕСТИЦИЙ</t>
  </si>
  <si>
    <t>осталось вернуть инвестиций</t>
  </si>
  <si>
    <t>РАСХОД ИТОГО</t>
  </si>
  <si>
    <t>Сальдо</t>
  </si>
  <si>
    <t>Ден. Поток</t>
  </si>
  <si>
    <t>Сальдо на начало периода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</si>
</sst>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₽&quot;;[Red]\-#,##0\ &quot;₽&quot;"/>
  </numFmts>
  <fonts count="17">
    <font>
      <sz val="11.0"/>
      <color rgb="FFFFCC99"/>
      <name val="Merriweather Sans"/>
      <scheme val="minor"/>
    </font>
    <font>
      <b/>
      <sz val="11.0"/>
      <color rgb="FFFFCC99"/>
      <name val="Merriweather Sans"/>
    </font>
    <font>
      <sz val="11.0"/>
      <color rgb="FFFFCC99"/>
      <name val="Merriweather Sans"/>
    </font>
    <font>
      <b/>
      <sz val="11.0"/>
      <color rgb="FF000000"/>
      <name val="Merriweather Sans"/>
    </font>
    <font>
      <b/>
      <sz val="11.0"/>
      <color theme="1"/>
      <name val="Merriweather Sans"/>
    </font>
    <font>
      <sz val="11.0"/>
      <color rgb="FF000000"/>
      <name val="Merriweather Sans"/>
    </font>
    <font>
      <sz val="11.0"/>
      <color theme="1"/>
      <name val="Merriweather Sans"/>
    </font>
    <font>
      <b/>
      <sz val="12.0"/>
      <color rgb="FF000000"/>
      <name val="Merriweather Sans"/>
    </font>
    <font>
      <sz val="12.0"/>
      <color theme="1"/>
      <name val="Merriweather Sans"/>
    </font>
    <font>
      <b/>
      <sz val="11.0"/>
      <color theme="0"/>
      <name val="Merriweather Sans"/>
    </font>
    <font>
      <b/>
      <sz val="11.0"/>
      <color rgb="FF0066CC"/>
      <name val="Merriweather Sans"/>
    </font>
    <font>
      <b/>
      <sz val="11.0"/>
      <color rgb="FFDD0806"/>
      <name val="Merriweather Sans"/>
    </font>
    <font>
      <sz val="11.0"/>
      <color rgb="FFDD0806"/>
      <name val="Merriweather Sans"/>
    </font>
    <font>
      <b/>
      <sz val="14.0"/>
      <color rgb="FF000000"/>
      <name val="Merriweather Sans"/>
    </font>
    <font>
      <b/>
      <sz val="14.0"/>
      <color theme="1"/>
      <name val="Merriweather Sans"/>
    </font>
    <font>
      <sz val="14.0"/>
      <color theme="1"/>
      <name val="Merriweather Sans"/>
    </font>
    <font>
      <sz val="11.0"/>
      <color rgb="FFFF0000"/>
      <name val="Merriweather Sans"/>
    </font>
  </fonts>
  <fills count="14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EEECE1"/>
        <bgColor rgb="FFEEECE1"/>
      </patternFill>
    </fill>
    <fill>
      <patternFill patternType="solid">
        <fgColor rgb="FF008080"/>
        <bgColor rgb="FF008080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DDD9C3"/>
        <bgColor rgb="FFDDD9C3"/>
      </patternFill>
    </fill>
    <fill>
      <patternFill patternType="solid">
        <fgColor rgb="FFC6D9F0"/>
        <bgColor rgb="FFC6D9F0"/>
      </patternFill>
    </fill>
    <fill>
      <patternFill patternType="solid">
        <fgColor rgb="FFDD0806"/>
        <bgColor rgb="FFDD0806"/>
      </patternFill>
    </fill>
    <fill>
      <patternFill patternType="solid">
        <fgColor rgb="FFD8D8D8"/>
        <bgColor rgb="FFD8D8D8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3" numFmtId="3" xfId="0" applyAlignment="1" applyBorder="1" applyFont="1" applyNumberFormat="1">
      <alignment shrinkToFit="0" vertical="bottom" wrapText="0"/>
    </xf>
    <xf borderId="9" fillId="3" fontId="3" numFmtId="0" xfId="0" applyAlignment="1" applyBorder="1" applyFill="1" applyFont="1">
      <alignment readingOrder="0" shrinkToFit="0" vertical="bottom" wrapText="0"/>
    </xf>
    <xf borderId="10" fillId="3" fontId="4" numFmtId="3" xfId="0" applyAlignment="1" applyBorder="1" applyFont="1" applyNumberFormat="1">
      <alignment shrinkToFit="0" vertical="bottom" wrapText="0"/>
    </xf>
    <xf borderId="11" fillId="3" fontId="4" numFmtId="3" xfId="0" applyAlignment="1" applyBorder="1" applyFont="1" applyNumberFormat="1">
      <alignment shrinkToFit="0" vertical="bottom" wrapText="0"/>
    </xf>
    <xf borderId="12" fillId="3" fontId="3" numFmtId="3" xfId="0" applyAlignment="1" applyBorder="1" applyFont="1" applyNumberFormat="1">
      <alignment shrinkToFit="0" vertical="bottom" wrapText="0"/>
    </xf>
    <xf borderId="9" fillId="3" fontId="5" numFmtId="0" xfId="0" applyAlignment="1" applyBorder="1" applyFont="1">
      <alignment shrinkToFit="0" vertical="bottom" wrapText="0"/>
    </xf>
    <xf borderId="10" fillId="3" fontId="6" numFmtId="3" xfId="0" applyAlignment="1" applyBorder="1" applyFont="1" applyNumberFormat="1">
      <alignment readingOrder="0" shrinkToFit="0" vertical="bottom" wrapText="0"/>
    </xf>
    <xf borderId="13" fillId="3" fontId="6" numFmtId="3" xfId="0" applyAlignment="1" applyBorder="1" applyFont="1" applyNumberFormat="1">
      <alignment readingOrder="0" shrinkToFit="0" vertical="bottom" wrapText="0"/>
    </xf>
    <xf borderId="9" fillId="4" fontId="3" numFmtId="0" xfId="0" applyAlignment="1" applyBorder="1" applyFill="1" applyFont="1">
      <alignment readingOrder="0" shrinkToFit="0" vertical="bottom" wrapText="0"/>
    </xf>
    <xf borderId="10" fillId="4" fontId="6" numFmtId="3" xfId="0" applyAlignment="1" applyBorder="1" applyFont="1" applyNumberFormat="1">
      <alignment shrinkToFit="0" vertical="bottom" wrapText="0"/>
    </xf>
    <xf borderId="10" fillId="4" fontId="4" numFmtId="3" xfId="0" applyAlignment="1" applyBorder="1" applyFont="1" applyNumberFormat="1">
      <alignment shrinkToFit="0" vertical="bottom" wrapText="0"/>
    </xf>
    <xf borderId="12" fillId="4" fontId="3" numFmtId="3" xfId="0" applyAlignment="1" applyBorder="1" applyFont="1" applyNumberFormat="1">
      <alignment shrinkToFit="0" vertical="bottom" wrapText="0"/>
    </xf>
    <xf borderId="9" fillId="4" fontId="5" numFmtId="0" xfId="0" applyAlignment="1" applyBorder="1" applyFont="1">
      <alignment shrinkToFit="0" vertical="bottom" wrapText="0"/>
    </xf>
    <xf borderId="10" fillId="4" fontId="6" numFmtId="3" xfId="0" applyAlignment="1" applyBorder="1" applyFont="1" applyNumberFormat="1">
      <alignment readingOrder="0" shrinkToFit="0" vertical="bottom" wrapText="0"/>
    </xf>
    <xf borderId="13" fillId="4" fontId="6" numFmtId="3" xfId="0" applyAlignment="1" applyBorder="1" applyFont="1" applyNumberFormat="1">
      <alignment readingOrder="0" shrinkToFit="0" vertical="bottom" wrapText="0"/>
    </xf>
    <xf borderId="10" fillId="4" fontId="4" numFmtId="3" xfId="0" applyAlignment="1" applyBorder="1" applyFont="1" applyNumberFormat="1">
      <alignment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14" fillId="0" fontId="6" numFmtId="3" xfId="0" applyAlignment="1" applyBorder="1" applyFont="1" applyNumberFormat="1">
      <alignment shrinkToFit="0" vertical="bottom" wrapText="0"/>
    </xf>
    <xf borderId="13" fillId="0" fontId="6" numFmtId="3" xfId="0" applyAlignment="1" applyBorder="1" applyFont="1" applyNumberFormat="1">
      <alignment shrinkToFit="0" vertical="bottom" wrapText="0"/>
    </xf>
    <xf borderId="15" fillId="0" fontId="6" numFmtId="3" xfId="0" applyAlignment="1" applyBorder="1" applyFont="1" applyNumberFormat="1">
      <alignment shrinkToFit="0" vertical="bottom" wrapText="0"/>
    </xf>
    <xf borderId="12" fillId="0" fontId="3" numFmtId="3" xfId="0" applyAlignment="1" applyBorder="1" applyFont="1" applyNumberFormat="1">
      <alignment shrinkToFit="0" vertical="bottom" wrapText="0"/>
    </xf>
    <xf borderId="9" fillId="5" fontId="7" numFmtId="0" xfId="0" applyAlignment="1" applyBorder="1" applyFill="1" applyFont="1">
      <alignment shrinkToFit="0" vertical="bottom" wrapText="0"/>
    </xf>
    <xf borderId="10" fillId="5" fontId="8" numFmtId="3" xfId="0" applyAlignment="1" applyBorder="1" applyFont="1" applyNumberFormat="1">
      <alignment shrinkToFit="0" vertical="bottom" wrapText="0"/>
    </xf>
    <xf borderId="13" fillId="5" fontId="8" numFmtId="3" xfId="0" applyAlignment="1" applyBorder="1" applyFont="1" applyNumberFormat="1">
      <alignment shrinkToFit="0" vertical="bottom" wrapText="0"/>
    </xf>
    <xf borderId="16" fillId="5" fontId="8" numFmtId="3" xfId="0" applyAlignment="1" applyBorder="1" applyFont="1" applyNumberFormat="1">
      <alignment shrinkToFit="0" vertical="bottom" wrapText="0"/>
    </xf>
    <xf borderId="12" fillId="5" fontId="7" numFmtId="3" xfId="0" applyAlignment="1" applyBorder="1" applyFont="1" applyNumberFormat="1">
      <alignment shrinkToFit="0" vertical="bottom" wrapText="0"/>
    </xf>
    <xf borderId="17" fillId="6" fontId="3" numFmtId="0" xfId="0" applyAlignment="1" applyBorder="1" applyFill="1" applyFont="1">
      <alignment shrinkToFit="0" vertical="bottom" wrapText="0"/>
    </xf>
    <xf borderId="18" fillId="6" fontId="9" numFmtId="3" xfId="0" applyAlignment="1" applyBorder="1" applyFont="1" applyNumberFormat="1">
      <alignment shrinkToFit="0" vertical="bottom" wrapText="0"/>
    </xf>
    <xf borderId="19" fillId="6" fontId="9" numFmtId="3" xfId="0" applyAlignment="1" applyBorder="1" applyFont="1" applyNumberFormat="1">
      <alignment shrinkToFit="0" vertical="bottom" wrapText="0"/>
    </xf>
    <xf borderId="6" fillId="0" fontId="10" numFmtId="3" xfId="0" applyAlignment="1" applyBorder="1" applyFont="1" applyNumberFormat="1">
      <alignment shrinkToFit="0" vertical="bottom" wrapText="0"/>
    </xf>
    <xf borderId="7" fillId="0" fontId="11" numFmtId="3" xfId="0" applyAlignment="1" applyBorder="1" applyFont="1" applyNumberFormat="1">
      <alignment shrinkToFit="0" vertical="bottom" wrapText="0"/>
    </xf>
    <xf borderId="9" fillId="7" fontId="5" numFmtId="0" xfId="0" applyAlignment="1" applyBorder="1" applyFill="1" applyFont="1">
      <alignment shrinkToFit="0" vertical="bottom" wrapText="0"/>
    </xf>
    <xf borderId="10" fillId="7" fontId="5" numFmtId="3" xfId="0" applyAlignment="1" applyBorder="1" applyFont="1" applyNumberFormat="1">
      <alignment readingOrder="0" shrinkToFit="0" vertical="bottom" wrapText="0"/>
    </xf>
    <xf borderId="12" fillId="7" fontId="3" numFmtId="3" xfId="0" applyAlignment="1" applyBorder="1" applyFont="1" applyNumberFormat="1">
      <alignment shrinkToFit="0" vertical="bottom" wrapText="0"/>
    </xf>
    <xf borderId="9" fillId="7" fontId="3" numFmtId="0" xfId="0" applyAlignment="1" applyBorder="1" applyFont="1">
      <alignment shrinkToFit="0" vertical="bottom" wrapText="0"/>
    </xf>
    <xf borderId="10" fillId="7" fontId="3" numFmtId="3" xfId="0" applyAlignment="1" applyBorder="1" applyFont="1" applyNumberFormat="1">
      <alignment readingOrder="0" shrinkToFit="0" vertical="bottom" wrapText="0"/>
    </xf>
    <xf borderId="10" fillId="7" fontId="3" numFmtId="3" xfId="0" applyAlignment="1" applyBorder="1" applyFont="1" applyNumberFormat="1">
      <alignment shrinkToFit="0" vertical="bottom" wrapText="0"/>
    </xf>
    <xf borderId="9" fillId="8" fontId="5" numFmtId="0" xfId="0" applyAlignment="1" applyBorder="1" applyFill="1" applyFont="1">
      <alignment shrinkToFit="0" vertical="bottom" wrapText="0"/>
    </xf>
    <xf borderId="10" fillId="8" fontId="5" numFmtId="3" xfId="0" applyAlignment="1" applyBorder="1" applyFont="1" applyNumberFormat="1">
      <alignment readingOrder="0" shrinkToFit="0" vertical="bottom" wrapText="0"/>
    </xf>
    <xf borderId="12" fillId="8" fontId="3" numFmtId="3" xfId="0" applyAlignment="1" applyBorder="1" applyFont="1" applyNumberFormat="1">
      <alignment shrinkToFit="0" vertical="bottom" wrapText="0"/>
    </xf>
    <xf borderId="9" fillId="8" fontId="3" numFmtId="0" xfId="0" applyAlignment="1" applyBorder="1" applyFont="1">
      <alignment shrinkToFit="0" vertical="bottom" wrapText="0"/>
    </xf>
    <xf borderId="10" fillId="8" fontId="5" numFmtId="3" xfId="0" applyAlignment="1" applyBorder="1" applyFont="1" applyNumberFormat="1">
      <alignment shrinkToFit="0" vertical="bottom" wrapText="0"/>
    </xf>
    <xf borderId="9" fillId="9" fontId="5" numFmtId="0" xfId="0" applyAlignment="1" applyBorder="1" applyFill="1" applyFont="1">
      <alignment shrinkToFit="0" vertical="bottom" wrapText="0"/>
    </xf>
    <xf borderId="10" fillId="9" fontId="5" numFmtId="3" xfId="0" applyAlignment="1" applyBorder="1" applyFont="1" applyNumberFormat="1">
      <alignment readingOrder="0" shrinkToFit="0" vertical="bottom" wrapText="0"/>
    </xf>
    <xf borderId="12" fillId="9" fontId="3" numFmtId="3" xfId="0" applyAlignment="1" applyBorder="1" applyFont="1" applyNumberFormat="1">
      <alignment shrinkToFit="0" vertical="bottom" wrapText="0"/>
    </xf>
    <xf borderId="9" fillId="9" fontId="5" numFmtId="0" xfId="0" applyAlignment="1" applyBorder="1" applyFont="1">
      <alignment readingOrder="0" shrinkToFit="0" vertical="bottom" wrapText="0"/>
    </xf>
    <xf borderId="9" fillId="9" fontId="3" numFmtId="0" xfId="0" applyAlignment="1" applyBorder="1" applyFont="1">
      <alignment shrinkToFit="0" vertical="bottom" wrapText="0"/>
    </xf>
    <xf borderId="10" fillId="9" fontId="5" numFmtId="3" xfId="0" applyAlignment="1" applyBorder="1" applyFont="1" applyNumberFormat="1">
      <alignment shrinkToFit="0" vertical="bottom" wrapText="0"/>
    </xf>
    <xf borderId="9" fillId="10" fontId="5" numFmtId="0" xfId="0" applyAlignment="1" applyBorder="1" applyFill="1" applyFont="1">
      <alignment shrinkToFit="0" vertical="bottom" wrapText="0"/>
    </xf>
    <xf borderId="10" fillId="10" fontId="5" numFmtId="3" xfId="0" applyAlignment="1" applyBorder="1" applyFont="1" applyNumberFormat="1">
      <alignment readingOrder="0" shrinkToFit="0" vertical="bottom" wrapText="0"/>
    </xf>
    <xf borderId="12" fillId="10" fontId="3" numFmtId="3" xfId="0" applyAlignment="1" applyBorder="1" applyFont="1" applyNumberFormat="1">
      <alignment shrinkToFit="0" vertical="bottom" wrapText="0"/>
    </xf>
    <xf borderId="9" fillId="10" fontId="5" numFmtId="0" xfId="0" applyAlignment="1" applyBorder="1" applyFont="1">
      <alignment readingOrder="0" shrinkToFit="0" vertical="bottom" wrapText="0"/>
    </xf>
    <xf borderId="9" fillId="10" fontId="3" numFmtId="0" xfId="0" applyAlignment="1" applyBorder="1" applyFont="1">
      <alignment shrinkToFit="0" vertical="bottom" wrapText="0"/>
    </xf>
    <xf borderId="10" fillId="10" fontId="5" numFmtId="3" xfId="0" applyAlignment="1" applyBorder="1" applyFont="1" applyNumberFormat="1">
      <alignment shrinkToFit="0" vertical="bottom" wrapText="0"/>
    </xf>
    <xf borderId="9" fillId="11" fontId="5" numFmtId="0" xfId="0" applyAlignment="1" applyBorder="1" applyFill="1" applyFont="1">
      <alignment shrinkToFit="0" vertical="bottom" wrapText="0"/>
    </xf>
    <xf borderId="10" fillId="11" fontId="5" numFmtId="3" xfId="0" applyAlignment="1" applyBorder="1" applyFont="1" applyNumberFormat="1">
      <alignment readingOrder="0" shrinkToFit="0" vertical="bottom" wrapText="0"/>
    </xf>
    <xf borderId="12" fillId="11" fontId="3" numFmtId="3" xfId="0" applyAlignment="1" applyBorder="1" applyFont="1" applyNumberFormat="1">
      <alignment shrinkToFit="0" vertical="bottom" wrapText="0"/>
    </xf>
    <xf borderId="9" fillId="11" fontId="5" numFmtId="0" xfId="0" applyAlignment="1" applyBorder="1" applyFont="1">
      <alignment readingOrder="0" shrinkToFit="0" vertical="bottom" wrapText="0"/>
    </xf>
    <xf borderId="9" fillId="11" fontId="3" numFmtId="0" xfId="0" applyAlignment="1" applyBorder="1" applyFont="1">
      <alignment shrinkToFit="0" vertical="bottom" wrapText="0"/>
    </xf>
    <xf borderId="10" fillId="11" fontId="5" numFmtId="3" xfId="0" applyAlignment="1" applyBorder="1" applyFont="1" applyNumberFormat="1">
      <alignment shrinkToFit="0" vertical="bottom" wrapText="0"/>
    </xf>
    <xf borderId="9" fillId="2" fontId="5" numFmtId="0" xfId="0" applyAlignment="1" applyBorder="1" applyFont="1">
      <alignment shrinkToFit="0" vertical="bottom" wrapText="0"/>
    </xf>
    <xf borderId="10" fillId="2" fontId="5" numFmtId="3" xfId="0" applyAlignment="1" applyBorder="1" applyFont="1" applyNumberFormat="1">
      <alignment shrinkToFit="0" vertical="bottom" wrapText="0"/>
    </xf>
    <xf borderId="12" fillId="2" fontId="3" numFmtId="3" xfId="0" applyAlignment="1" applyBorder="1" applyFont="1" applyNumberFormat="1">
      <alignment shrinkToFit="0" vertical="bottom" wrapText="0"/>
    </xf>
    <xf borderId="9" fillId="2" fontId="3" numFmtId="0" xfId="0" applyAlignment="1" applyBorder="1" applyFont="1">
      <alignment shrinkToFit="0" vertical="bottom" wrapText="0"/>
    </xf>
    <xf borderId="20" fillId="5" fontId="3" numFmtId="0" xfId="0" applyAlignment="1" applyBorder="1" applyFont="1">
      <alignment shrinkToFit="0" vertical="bottom" wrapText="0"/>
    </xf>
    <xf borderId="2" fillId="5" fontId="5" numFmtId="3" xfId="0" applyAlignment="1" applyBorder="1" applyFont="1" applyNumberFormat="1">
      <alignment shrinkToFit="0" vertical="bottom" wrapText="0"/>
    </xf>
    <xf borderId="2" fillId="5" fontId="5" numFmtId="3" xfId="0" applyAlignment="1" applyBorder="1" applyFont="1" applyNumberFormat="1">
      <alignment readingOrder="0" shrinkToFit="0" vertical="bottom" wrapText="0"/>
    </xf>
    <xf borderId="12" fillId="5" fontId="3" numFmtId="3" xfId="0" applyAlignment="1" applyBorder="1" applyFont="1" applyNumberFormat="1">
      <alignment shrinkToFit="0" vertical="bottom" wrapText="0"/>
    </xf>
    <xf borderId="0" fillId="0" fontId="11" numFmtId="3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17" fillId="12" fontId="3" numFmtId="0" xfId="0" applyAlignment="1" applyBorder="1" applyFill="1" applyFont="1">
      <alignment shrinkToFit="0" vertical="bottom" wrapText="0"/>
    </xf>
    <xf borderId="18" fillId="12" fontId="9" numFmtId="3" xfId="0" applyAlignment="1" applyBorder="1" applyFont="1" applyNumberFormat="1">
      <alignment shrinkToFit="0" vertical="bottom" wrapText="0"/>
    </xf>
    <xf borderId="12" fillId="12" fontId="9" numFmtId="3" xfId="0" applyAlignment="1" applyBorder="1" applyFont="1" applyNumberFormat="1">
      <alignment shrinkToFit="0" vertical="bottom" wrapText="0"/>
    </xf>
    <xf borderId="21" fillId="13" fontId="13" numFmtId="0" xfId="0" applyAlignment="1" applyBorder="1" applyFill="1" applyFont="1">
      <alignment shrinkToFit="0" vertical="bottom" wrapText="0"/>
    </xf>
    <xf borderId="22" fillId="13" fontId="14" numFmtId="164" xfId="0" applyAlignment="1" applyBorder="1" applyFont="1" applyNumberFormat="1">
      <alignment shrinkToFit="0" vertical="bottom" wrapText="0"/>
    </xf>
    <xf borderId="8" fillId="13" fontId="14" numFmtId="164" xfId="0" applyAlignment="1" applyBorder="1" applyFont="1" applyNumberFormat="1">
      <alignment shrinkToFit="0" vertical="bottom" wrapText="0"/>
    </xf>
    <xf borderId="13" fillId="13" fontId="13" numFmtId="0" xfId="0" applyAlignment="1" applyBorder="1" applyFont="1">
      <alignment shrinkToFit="0" vertical="bottom" wrapText="0"/>
    </xf>
    <xf borderId="10" fillId="13" fontId="14" numFmtId="164" xfId="0" applyAlignment="1" applyBorder="1" applyFont="1" applyNumberFormat="1">
      <alignment shrinkToFit="0" vertical="bottom" wrapText="0"/>
    </xf>
    <xf borderId="13" fillId="13" fontId="14" numFmtId="164" xfId="0" applyAlignment="1" applyBorder="1" applyFont="1" applyNumberFormat="1">
      <alignment shrinkToFit="0" vertical="bottom" wrapText="0"/>
    </xf>
    <xf borderId="19" fillId="13" fontId="15" numFmtId="164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erriweather Sans"/>
        <a:ea typeface="Merriweather Sans"/>
        <a:cs typeface="Merriweather Sans"/>
      </a:majorFont>
      <a:minorFont>
        <a:latin typeface="Merriweather Sans"/>
        <a:ea typeface="Merriweather Sans"/>
        <a:cs typeface="Merriweather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1.75"/>
    <col customWidth="1" min="2" max="26" width="13.88"/>
    <col customWidth="1" min="27" max="28" width="10.25"/>
  </cols>
  <sheetData>
    <row r="1" ht="15.0" customHeight="1">
      <c r="A1" s="1" t="s">
        <v>0</v>
      </c>
      <c r="B1" s="2">
        <v>2025.0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  <c r="N1" s="3">
        <v>13.0</v>
      </c>
      <c r="O1" s="3">
        <v>14.0</v>
      </c>
      <c r="P1" s="3">
        <v>15.0</v>
      </c>
      <c r="Q1" s="3">
        <v>16.0</v>
      </c>
      <c r="R1" s="3">
        <v>17.0</v>
      </c>
      <c r="S1" s="3">
        <v>18.0</v>
      </c>
      <c r="T1" s="3">
        <v>19.0</v>
      </c>
      <c r="U1" s="3">
        <v>20.0</v>
      </c>
      <c r="V1" s="3">
        <v>21.0</v>
      </c>
      <c r="W1" s="3">
        <v>22.0</v>
      </c>
      <c r="X1" s="3">
        <v>23.0</v>
      </c>
      <c r="Y1" s="4">
        <v>24.0</v>
      </c>
      <c r="Z1" s="5"/>
      <c r="AA1" s="6"/>
      <c r="AB1" s="6"/>
    </row>
    <row r="2" ht="15.0" customHeight="1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10">
        <f>SUM(Z3:Z10)</f>
        <v>0</v>
      </c>
      <c r="AA2" s="6"/>
      <c r="AB2" s="6"/>
    </row>
    <row r="3" ht="15.0" customHeight="1">
      <c r="A3" s="11" t="s">
        <v>2</v>
      </c>
      <c r="B3" s="12">
        <f t="shared" ref="B3:Y3" si="1">B4*B5</f>
        <v>0</v>
      </c>
      <c r="C3" s="12">
        <f t="shared" si="1"/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1"/>
        <v>0</v>
      </c>
      <c r="T3" s="12">
        <f t="shared" si="1"/>
        <v>0</v>
      </c>
      <c r="U3" s="12">
        <f t="shared" si="1"/>
        <v>0</v>
      </c>
      <c r="V3" s="12">
        <f t="shared" si="1"/>
        <v>0</v>
      </c>
      <c r="W3" s="12">
        <f t="shared" si="1"/>
        <v>0</v>
      </c>
      <c r="X3" s="12">
        <f t="shared" si="1"/>
        <v>0</v>
      </c>
      <c r="Y3" s="13">
        <f t="shared" si="1"/>
        <v>0</v>
      </c>
      <c r="Z3" s="14">
        <f>SUM(B3:Y3)</f>
        <v>0</v>
      </c>
      <c r="AA3" s="6"/>
      <c r="AB3" s="6"/>
    </row>
    <row r="4" ht="15.0" customHeight="1">
      <c r="A4" s="15" t="s">
        <v>3</v>
      </c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4"/>
      <c r="AA4" s="6"/>
      <c r="AB4" s="6"/>
    </row>
    <row r="5" ht="15.0" customHeight="1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4"/>
      <c r="AA5" s="6"/>
      <c r="AB5" s="6"/>
    </row>
    <row r="6" ht="15.0" customHeight="1">
      <c r="A6" s="18" t="s">
        <v>5</v>
      </c>
      <c r="B6" s="19">
        <f t="shared" ref="B6:Y6" si="2">B7*B8</f>
        <v>0</v>
      </c>
      <c r="C6" s="20">
        <f t="shared" si="2"/>
        <v>0</v>
      </c>
      <c r="D6" s="20">
        <f t="shared" si="2"/>
        <v>0</v>
      </c>
      <c r="E6" s="20">
        <f t="shared" si="2"/>
        <v>0</v>
      </c>
      <c r="F6" s="20">
        <f t="shared" si="2"/>
        <v>0</v>
      </c>
      <c r="G6" s="20">
        <f t="shared" si="2"/>
        <v>0</v>
      </c>
      <c r="H6" s="20">
        <f t="shared" si="2"/>
        <v>0</v>
      </c>
      <c r="I6" s="20">
        <f t="shared" si="2"/>
        <v>0</v>
      </c>
      <c r="J6" s="20">
        <f t="shared" si="2"/>
        <v>0</v>
      </c>
      <c r="K6" s="20">
        <f t="shared" si="2"/>
        <v>0</v>
      </c>
      <c r="L6" s="20">
        <f t="shared" si="2"/>
        <v>0</v>
      </c>
      <c r="M6" s="20">
        <f t="shared" si="2"/>
        <v>0</v>
      </c>
      <c r="N6" s="20">
        <f t="shared" si="2"/>
        <v>0</v>
      </c>
      <c r="O6" s="20">
        <f t="shared" si="2"/>
        <v>0</v>
      </c>
      <c r="P6" s="20">
        <f t="shared" si="2"/>
        <v>0</v>
      </c>
      <c r="Q6" s="20">
        <f t="shared" si="2"/>
        <v>0</v>
      </c>
      <c r="R6" s="20">
        <f t="shared" si="2"/>
        <v>0</v>
      </c>
      <c r="S6" s="20">
        <f t="shared" si="2"/>
        <v>0</v>
      </c>
      <c r="T6" s="20">
        <f t="shared" si="2"/>
        <v>0</v>
      </c>
      <c r="U6" s="20">
        <f t="shared" si="2"/>
        <v>0</v>
      </c>
      <c r="V6" s="20">
        <f t="shared" si="2"/>
        <v>0</v>
      </c>
      <c r="W6" s="20">
        <f t="shared" si="2"/>
        <v>0</v>
      </c>
      <c r="X6" s="20">
        <f t="shared" si="2"/>
        <v>0</v>
      </c>
      <c r="Y6" s="20">
        <f t="shared" si="2"/>
        <v>0</v>
      </c>
      <c r="Z6" s="21">
        <f>SUM(B6:Y6)</f>
        <v>0</v>
      </c>
      <c r="AA6" s="6"/>
      <c r="AB6" s="6"/>
    </row>
    <row r="7" ht="15.0" customHeight="1">
      <c r="A7" s="22" t="s">
        <v>3</v>
      </c>
      <c r="B7" s="23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1"/>
      <c r="AA7" s="6"/>
      <c r="AB7" s="6"/>
    </row>
    <row r="8" ht="15.0" customHeight="1">
      <c r="A8" s="22" t="s">
        <v>6</v>
      </c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1"/>
      <c r="AA8" s="6"/>
      <c r="AB8" s="6"/>
    </row>
    <row r="9" ht="15.0" customHeight="1">
      <c r="A9" s="26" t="s">
        <v>7</v>
      </c>
      <c r="B9" s="27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9"/>
      <c r="Z9" s="30">
        <f t="shared" ref="Z9:Z11" si="3">SUM(B9:Y9)</f>
        <v>0</v>
      </c>
      <c r="AA9" s="6"/>
      <c r="AB9" s="6"/>
    </row>
    <row r="10" ht="15.0" customHeight="1">
      <c r="A10" s="31" t="s">
        <v>8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4"/>
      <c r="Z10" s="35">
        <f t="shared" si="3"/>
        <v>0</v>
      </c>
      <c r="AA10" s="6"/>
      <c r="AB10" s="6"/>
    </row>
    <row r="11" ht="15.0" customHeight="1">
      <c r="A11" s="36" t="s">
        <v>9</v>
      </c>
      <c r="B11" s="37">
        <f t="shared" ref="B11:Y11" si="4">B10+B9+B6+B3</f>
        <v>0</v>
      </c>
      <c r="C11" s="37">
        <f t="shared" si="4"/>
        <v>0</v>
      </c>
      <c r="D11" s="37">
        <f t="shared" si="4"/>
        <v>0</v>
      </c>
      <c r="E11" s="37">
        <f t="shared" si="4"/>
        <v>0</v>
      </c>
      <c r="F11" s="37">
        <f t="shared" si="4"/>
        <v>0</v>
      </c>
      <c r="G11" s="37">
        <f t="shared" si="4"/>
        <v>0</v>
      </c>
      <c r="H11" s="37">
        <f t="shared" si="4"/>
        <v>0</v>
      </c>
      <c r="I11" s="37">
        <f t="shared" si="4"/>
        <v>0</v>
      </c>
      <c r="J11" s="37">
        <f t="shared" si="4"/>
        <v>0</v>
      </c>
      <c r="K11" s="37">
        <f t="shared" si="4"/>
        <v>0</v>
      </c>
      <c r="L11" s="37">
        <f t="shared" si="4"/>
        <v>0</v>
      </c>
      <c r="M11" s="37">
        <f t="shared" si="4"/>
        <v>0</v>
      </c>
      <c r="N11" s="37">
        <f t="shared" si="4"/>
        <v>0</v>
      </c>
      <c r="O11" s="37">
        <f t="shared" si="4"/>
        <v>0</v>
      </c>
      <c r="P11" s="37">
        <f t="shared" si="4"/>
        <v>0</v>
      </c>
      <c r="Q11" s="37">
        <f t="shared" si="4"/>
        <v>0</v>
      </c>
      <c r="R11" s="37">
        <f t="shared" si="4"/>
        <v>0</v>
      </c>
      <c r="S11" s="37">
        <f t="shared" si="4"/>
        <v>0</v>
      </c>
      <c r="T11" s="37">
        <f t="shared" si="4"/>
        <v>0</v>
      </c>
      <c r="U11" s="37">
        <f t="shared" si="4"/>
        <v>0</v>
      </c>
      <c r="V11" s="37">
        <f t="shared" si="4"/>
        <v>0</v>
      </c>
      <c r="W11" s="37">
        <f t="shared" si="4"/>
        <v>0</v>
      </c>
      <c r="X11" s="37">
        <f t="shared" si="4"/>
        <v>0</v>
      </c>
      <c r="Y11" s="37">
        <f t="shared" si="4"/>
        <v>0</v>
      </c>
      <c r="Z11" s="38">
        <f t="shared" si="3"/>
        <v>0</v>
      </c>
      <c r="AA11" s="6"/>
      <c r="AB11" s="6"/>
    </row>
    <row r="12" ht="15.0" customHeight="1">
      <c r="A12" s="7" t="s">
        <v>10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>
        <f>Z17+Z22+Z26+Z34+Z38+Z42+Z43</f>
        <v>0</v>
      </c>
      <c r="AA12" s="6"/>
      <c r="AB12" s="6"/>
    </row>
    <row r="13" ht="15.0" customHeight="1">
      <c r="A13" s="41" t="s">
        <v>11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3">
        <f t="shared" ref="Z13:Z45" si="5">SUM(B13:Y13)</f>
        <v>0</v>
      </c>
      <c r="AA13" s="6"/>
      <c r="AB13" s="6"/>
    </row>
    <row r="14" ht="15.0" customHeight="1">
      <c r="A14" s="41" t="s">
        <v>12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3">
        <f t="shared" si="5"/>
        <v>0</v>
      </c>
      <c r="AA14" s="6"/>
      <c r="AB14" s="6"/>
    </row>
    <row r="15" ht="15.0" customHeight="1">
      <c r="A15" s="41" t="s">
        <v>13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3">
        <f t="shared" si="5"/>
        <v>0</v>
      </c>
      <c r="AA15" s="6"/>
      <c r="AB15" s="6"/>
    </row>
    <row r="16" ht="15.0" customHeight="1">
      <c r="A16" s="41" t="s">
        <v>14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3">
        <f t="shared" si="5"/>
        <v>0</v>
      </c>
      <c r="AA16" s="6"/>
      <c r="AB16" s="6"/>
    </row>
    <row r="17" ht="15.0" customHeight="1">
      <c r="A17" s="44" t="s">
        <v>15</v>
      </c>
      <c r="B17" s="45">
        <f t="shared" ref="B17:Y17" si="6">SUM(B13:B16)</f>
        <v>0</v>
      </c>
      <c r="C17" s="46">
        <f t="shared" si="6"/>
        <v>0</v>
      </c>
      <c r="D17" s="46">
        <f t="shared" si="6"/>
        <v>0</v>
      </c>
      <c r="E17" s="46">
        <f t="shared" si="6"/>
        <v>0</v>
      </c>
      <c r="F17" s="46">
        <f t="shared" si="6"/>
        <v>0</v>
      </c>
      <c r="G17" s="46">
        <f t="shared" si="6"/>
        <v>0</v>
      </c>
      <c r="H17" s="46">
        <f t="shared" si="6"/>
        <v>0</v>
      </c>
      <c r="I17" s="46">
        <f t="shared" si="6"/>
        <v>0</v>
      </c>
      <c r="J17" s="46">
        <f t="shared" si="6"/>
        <v>0</v>
      </c>
      <c r="K17" s="46">
        <f t="shared" si="6"/>
        <v>0</v>
      </c>
      <c r="L17" s="46">
        <f t="shared" si="6"/>
        <v>0</v>
      </c>
      <c r="M17" s="46">
        <f t="shared" si="6"/>
        <v>0</v>
      </c>
      <c r="N17" s="46">
        <f t="shared" si="6"/>
        <v>0</v>
      </c>
      <c r="O17" s="46">
        <f t="shared" si="6"/>
        <v>0</v>
      </c>
      <c r="P17" s="46">
        <f t="shared" si="6"/>
        <v>0</v>
      </c>
      <c r="Q17" s="46">
        <f t="shared" si="6"/>
        <v>0</v>
      </c>
      <c r="R17" s="46">
        <f t="shared" si="6"/>
        <v>0</v>
      </c>
      <c r="S17" s="46">
        <f t="shared" si="6"/>
        <v>0</v>
      </c>
      <c r="T17" s="46">
        <f t="shared" si="6"/>
        <v>0</v>
      </c>
      <c r="U17" s="46">
        <f t="shared" si="6"/>
        <v>0</v>
      </c>
      <c r="V17" s="46">
        <f t="shared" si="6"/>
        <v>0</v>
      </c>
      <c r="W17" s="46">
        <f t="shared" si="6"/>
        <v>0</v>
      </c>
      <c r="X17" s="46">
        <f t="shared" si="6"/>
        <v>0</v>
      </c>
      <c r="Y17" s="46">
        <f t="shared" si="6"/>
        <v>0</v>
      </c>
      <c r="Z17" s="43">
        <f t="shared" si="5"/>
        <v>0</v>
      </c>
      <c r="AA17" s="6"/>
      <c r="AB17" s="6"/>
    </row>
    <row r="18" ht="15.0" customHeight="1">
      <c r="A18" s="47" t="s">
        <v>16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9">
        <f t="shared" si="5"/>
        <v>0</v>
      </c>
      <c r="AA18" s="6"/>
      <c r="AB18" s="6"/>
    </row>
    <row r="19" ht="15.0" customHeight="1">
      <c r="A19" s="47" t="s">
        <v>17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9">
        <f t="shared" si="5"/>
        <v>0</v>
      </c>
      <c r="AA19" s="6"/>
      <c r="AB19" s="6"/>
    </row>
    <row r="20" ht="15.0" customHeight="1">
      <c r="A20" s="47" t="s">
        <v>18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9">
        <f t="shared" si="5"/>
        <v>0</v>
      </c>
      <c r="AA20" s="6"/>
      <c r="AB20" s="6"/>
    </row>
    <row r="21" ht="15.0" customHeight="1">
      <c r="A21" s="47" t="s">
        <v>19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9">
        <f t="shared" si="5"/>
        <v>0</v>
      </c>
      <c r="AA21" s="6"/>
      <c r="AB21" s="6"/>
    </row>
    <row r="22" ht="15.0" customHeight="1">
      <c r="A22" s="50" t="s">
        <v>20</v>
      </c>
      <c r="B22" s="51">
        <f t="shared" ref="B22:Y22" si="7">SUM(B18:B21)</f>
        <v>0</v>
      </c>
      <c r="C22" s="51">
        <f t="shared" si="7"/>
        <v>0</v>
      </c>
      <c r="D22" s="51">
        <f t="shared" si="7"/>
        <v>0</v>
      </c>
      <c r="E22" s="51">
        <f t="shared" si="7"/>
        <v>0</v>
      </c>
      <c r="F22" s="51">
        <f t="shared" si="7"/>
        <v>0</v>
      </c>
      <c r="G22" s="51">
        <f t="shared" si="7"/>
        <v>0</v>
      </c>
      <c r="H22" s="51">
        <f t="shared" si="7"/>
        <v>0</v>
      </c>
      <c r="I22" s="51">
        <f t="shared" si="7"/>
        <v>0</v>
      </c>
      <c r="J22" s="51">
        <f t="shared" si="7"/>
        <v>0</v>
      </c>
      <c r="K22" s="51">
        <f t="shared" si="7"/>
        <v>0</v>
      </c>
      <c r="L22" s="51">
        <f t="shared" si="7"/>
        <v>0</v>
      </c>
      <c r="M22" s="51">
        <f t="shared" si="7"/>
        <v>0</v>
      </c>
      <c r="N22" s="51">
        <f t="shared" si="7"/>
        <v>0</v>
      </c>
      <c r="O22" s="51">
        <f t="shared" si="7"/>
        <v>0</v>
      </c>
      <c r="P22" s="51">
        <f t="shared" si="7"/>
        <v>0</v>
      </c>
      <c r="Q22" s="51">
        <f t="shared" si="7"/>
        <v>0</v>
      </c>
      <c r="R22" s="51">
        <f t="shared" si="7"/>
        <v>0</v>
      </c>
      <c r="S22" s="51">
        <f t="shared" si="7"/>
        <v>0</v>
      </c>
      <c r="T22" s="51">
        <f t="shared" si="7"/>
        <v>0</v>
      </c>
      <c r="U22" s="51">
        <f t="shared" si="7"/>
        <v>0</v>
      </c>
      <c r="V22" s="51">
        <f t="shared" si="7"/>
        <v>0</v>
      </c>
      <c r="W22" s="51">
        <f t="shared" si="7"/>
        <v>0</v>
      </c>
      <c r="X22" s="51">
        <f t="shared" si="7"/>
        <v>0</v>
      </c>
      <c r="Y22" s="51">
        <f t="shared" si="7"/>
        <v>0</v>
      </c>
      <c r="Z22" s="49">
        <f t="shared" si="5"/>
        <v>0</v>
      </c>
      <c r="AA22" s="6"/>
      <c r="AB22" s="6"/>
    </row>
    <row r="23" ht="15.0" customHeight="1">
      <c r="A23" s="52" t="s">
        <v>21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4">
        <f t="shared" si="5"/>
        <v>0</v>
      </c>
      <c r="AA23" s="6"/>
      <c r="AB23" s="6"/>
    </row>
    <row r="24" ht="15.0" customHeight="1">
      <c r="A24" s="52" t="s">
        <v>22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4">
        <f t="shared" si="5"/>
        <v>0</v>
      </c>
      <c r="AA24" s="6"/>
      <c r="AB24" s="6"/>
    </row>
    <row r="25" ht="15.0" customHeight="1">
      <c r="A25" s="55" t="s">
        <v>23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4">
        <f t="shared" si="5"/>
        <v>0</v>
      </c>
      <c r="AA25" s="6"/>
      <c r="AB25" s="6"/>
    </row>
    <row r="26" ht="15.0" customHeight="1">
      <c r="A26" s="56" t="s">
        <v>24</v>
      </c>
      <c r="B26" s="57">
        <f t="shared" ref="B26:Y26" si="8">SUM(B23:B25)</f>
        <v>0</v>
      </c>
      <c r="C26" s="57">
        <f t="shared" si="8"/>
        <v>0</v>
      </c>
      <c r="D26" s="57">
        <f t="shared" si="8"/>
        <v>0</v>
      </c>
      <c r="E26" s="57">
        <f t="shared" si="8"/>
        <v>0</v>
      </c>
      <c r="F26" s="57">
        <f t="shared" si="8"/>
        <v>0</v>
      </c>
      <c r="G26" s="57">
        <f t="shared" si="8"/>
        <v>0</v>
      </c>
      <c r="H26" s="57">
        <f t="shared" si="8"/>
        <v>0</v>
      </c>
      <c r="I26" s="57">
        <f t="shared" si="8"/>
        <v>0</v>
      </c>
      <c r="J26" s="57">
        <f t="shared" si="8"/>
        <v>0</v>
      </c>
      <c r="K26" s="57">
        <f t="shared" si="8"/>
        <v>0</v>
      </c>
      <c r="L26" s="57">
        <f t="shared" si="8"/>
        <v>0</v>
      </c>
      <c r="M26" s="57">
        <f t="shared" si="8"/>
        <v>0</v>
      </c>
      <c r="N26" s="57">
        <f t="shared" si="8"/>
        <v>0</v>
      </c>
      <c r="O26" s="57">
        <f t="shared" si="8"/>
        <v>0</v>
      </c>
      <c r="P26" s="57">
        <f t="shared" si="8"/>
        <v>0</v>
      </c>
      <c r="Q26" s="57">
        <f t="shared" si="8"/>
        <v>0</v>
      </c>
      <c r="R26" s="57">
        <f t="shared" si="8"/>
        <v>0</v>
      </c>
      <c r="S26" s="57">
        <f t="shared" si="8"/>
        <v>0</v>
      </c>
      <c r="T26" s="57">
        <f t="shared" si="8"/>
        <v>0</v>
      </c>
      <c r="U26" s="57">
        <f t="shared" si="8"/>
        <v>0</v>
      </c>
      <c r="V26" s="57">
        <f t="shared" si="8"/>
        <v>0</v>
      </c>
      <c r="W26" s="57">
        <f t="shared" si="8"/>
        <v>0</v>
      </c>
      <c r="X26" s="57">
        <f t="shared" si="8"/>
        <v>0</v>
      </c>
      <c r="Y26" s="57">
        <f t="shared" si="8"/>
        <v>0</v>
      </c>
      <c r="Z26" s="54">
        <f t="shared" si="5"/>
        <v>0</v>
      </c>
      <c r="AA26" s="6"/>
      <c r="AB26" s="6"/>
    </row>
    <row r="27" ht="15.0" customHeight="1">
      <c r="A27" s="58" t="s">
        <v>25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60">
        <f t="shared" si="5"/>
        <v>0</v>
      </c>
      <c r="AA27" s="6"/>
      <c r="AB27" s="6"/>
    </row>
    <row r="28" ht="15.0" customHeight="1">
      <c r="A28" s="58" t="s">
        <v>26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60">
        <f t="shared" si="5"/>
        <v>0</v>
      </c>
      <c r="AA28" s="6"/>
      <c r="AB28" s="6"/>
    </row>
    <row r="29" ht="15.0" customHeight="1">
      <c r="A29" s="58" t="s">
        <v>27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60">
        <f t="shared" si="5"/>
        <v>0</v>
      </c>
      <c r="AA29" s="6"/>
      <c r="AB29" s="6"/>
    </row>
    <row r="30" ht="15.0" customHeight="1">
      <c r="A30" s="61" t="s">
        <v>28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60">
        <f t="shared" si="5"/>
        <v>0</v>
      </c>
      <c r="AA30" s="6"/>
      <c r="AB30" s="6"/>
    </row>
    <row r="31" ht="15.0" customHeight="1">
      <c r="A31" s="58" t="s">
        <v>29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60">
        <f t="shared" si="5"/>
        <v>0</v>
      </c>
      <c r="AA31" s="6"/>
      <c r="AB31" s="6"/>
    </row>
    <row r="32" ht="15.0" customHeight="1">
      <c r="A32" s="58" t="s">
        <v>30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60">
        <f t="shared" si="5"/>
        <v>0</v>
      </c>
      <c r="AA32" s="6"/>
      <c r="AB32" s="6"/>
    </row>
    <row r="33" ht="15.0" customHeight="1">
      <c r="A33" s="58" t="s">
        <v>31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60">
        <f t="shared" si="5"/>
        <v>0</v>
      </c>
      <c r="AA33" s="6"/>
      <c r="AB33" s="6"/>
    </row>
    <row r="34" ht="15.0" customHeight="1">
      <c r="A34" s="62" t="s">
        <v>32</v>
      </c>
      <c r="B34" s="63">
        <f t="shared" ref="B34:Y34" si="9">SUM(B27:B33)</f>
        <v>0</v>
      </c>
      <c r="C34" s="63">
        <f t="shared" si="9"/>
        <v>0</v>
      </c>
      <c r="D34" s="63">
        <f t="shared" si="9"/>
        <v>0</v>
      </c>
      <c r="E34" s="63">
        <f t="shared" si="9"/>
        <v>0</v>
      </c>
      <c r="F34" s="63">
        <f t="shared" si="9"/>
        <v>0</v>
      </c>
      <c r="G34" s="63">
        <f t="shared" si="9"/>
        <v>0</v>
      </c>
      <c r="H34" s="63">
        <f t="shared" si="9"/>
        <v>0</v>
      </c>
      <c r="I34" s="63">
        <f t="shared" si="9"/>
        <v>0</v>
      </c>
      <c r="J34" s="63">
        <f t="shared" si="9"/>
        <v>0</v>
      </c>
      <c r="K34" s="63">
        <f t="shared" si="9"/>
        <v>0</v>
      </c>
      <c r="L34" s="63">
        <f t="shared" si="9"/>
        <v>0</v>
      </c>
      <c r="M34" s="63">
        <f t="shared" si="9"/>
        <v>0</v>
      </c>
      <c r="N34" s="63">
        <f t="shared" si="9"/>
        <v>0</v>
      </c>
      <c r="O34" s="63">
        <f t="shared" si="9"/>
        <v>0</v>
      </c>
      <c r="P34" s="63">
        <f t="shared" si="9"/>
        <v>0</v>
      </c>
      <c r="Q34" s="63">
        <f t="shared" si="9"/>
        <v>0</v>
      </c>
      <c r="R34" s="63">
        <f t="shared" si="9"/>
        <v>0</v>
      </c>
      <c r="S34" s="63">
        <f t="shared" si="9"/>
        <v>0</v>
      </c>
      <c r="T34" s="63">
        <f t="shared" si="9"/>
        <v>0</v>
      </c>
      <c r="U34" s="63">
        <f t="shared" si="9"/>
        <v>0</v>
      </c>
      <c r="V34" s="63">
        <f t="shared" si="9"/>
        <v>0</v>
      </c>
      <c r="W34" s="63">
        <f t="shared" si="9"/>
        <v>0</v>
      </c>
      <c r="X34" s="63">
        <f t="shared" si="9"/>
        <v>0</v>
      </c>
      <c r="Y34" s="63">
        <f t="shared" si="9"/>
        <v>0</v>
      </c>
      <c r="Z34" s="60">
        <f t="shared" si="5"/>
        <v>0</v>
      </c>
      <c r="AA34" s="6"/>
      <c r="AB34" s="6"/>
    </row>
    <row r="35" ht="15.0" customHeight="1">
      <c r="A35" s="64" t="s">
        <v>33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6">
        <f t="shared" si="5"/>
        <v>0</v>
      </c>
      <c r="AA35" s="6"/>
      <c r="AB35" s="6"/>
    </row>
    <row r="36" ht="15.0" customHeight="1">
      <c r="A36" s="67" t="s">
        <v>34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6">
        <f t="shared" si="5"/>
        <v>0</v>
      </c>
      <c r="AA36" s="6"/>
      <c r="AB36" s="6"/>
    </row>
    <row r="37" ht="15.0" customHeight="1">
      <c r="A37" s="67" t="s">
        <v>35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6">
        <f t="shared" si="5"/>
        <v>0</v>
      </c>
      <c r="AA37" s="6"/>
      <c r="AB37" s="6"/>
    </row>
    <row r="38" ht="15.0" customHeight="1">
      <c r="A38" s="68" t="s">
        <v>36</v>
      </c>
      <c r="B38" s="69">
        <f t="shared" ref="B38:Y38" si="10">SUM(B35:B37)</f>
        <v>0</v>
      </c>
      <c r="C38" s="69">
        <f t="shared" si="10"/>
        <v>0</v>
      </c>
      <c r="D38" s="69">
        <f t="shared" si="10"/>
        <v>0</v>
      </c>
      <c r="E38" s="69">
        <f t="shared" si="10"/>
        <v>0</v>
      </c>
      <c r="F38" s="69">
        <f t="shared" si="10"/>
        <v>0</v>
      </c>
      <c r="G38" s="69">
        <f t="shared" si="10"/>
        <v>0</v>
      </c>
      <c r="H38" s="69">
        <f t="shared" si="10"/>
        <v>0</v>
      </c>
      <c r="I38" s="69">
        <f t="shared" si="10"/>
        <v>0</v>
      </c>
      <c r="J38" s="69">
        <f t="shared" si="10"/>
        <v>0</v>
      </c>
      <c r="K38" s="69">
        <f t="shared" si="10"/>
        <v>0</v>
      </c>
      <c r="L38" s="69">
        <f t="shared" si="10"/>
        <v>0</v>
      </c>
      <c r="M38" s="69">
        <f t="shared" si="10"/>
        <v>0</v>
      </c>
      <c r="N38" s="69">
        <f t="shared" si="10"/>
        <v>0</v>
      </c>
      <c r="O38" s="69">
        <f t="shared" si="10"/>
        <v>0</v>
      </c>
      <c r="P38" s="69">
        <f t="shared" si="10"/>
        <v>0</v>
      </c>
      <c r="Q38" s="69">
        <f t="shared" si="10"/>
        <v>0</v>
      </c>
      <c r="R38" s="69">
        <f t="shared" si="10"/>
        <v>0</v>
      </c>
      <c r="S38" s="69">
        <f t="shared" si="10"/>
        <v>0</v>
      </c>
      <c r="T38" s="69">
        <f t="shared" si="10"/>
        <v>0</v>
      </c>
      <c r="U38" s="69">
        <f t="shared" si="10"/>
        <v>0</v>
      </c>
      <c r="V38" s="69">
        <f t="shared" si="10"/>
        <v>0</v>
      </c>
      <c r="W38" s="69">
        <f t="shared" si="10"/>
        <v>0</v>
      </c>
      <c r="X38" s="69">
        <f t="shared" si="10"/>
        <v>0</v>
      </c>
      <c r="Y38" s="69">
        <f t="shared" si="10"/>
        <v>0</v>
      </c>
      <c r="Z38" s="66">
        <f t="shared" si="5"/>
        <v>0</v>
      </c>
      <c r="AA38" s="6"/>
      <c r="AB38" s="6"/>
    </row>
    <row r="39" ht="15.0" customHeight="1">
      <c r="A39" s="70" t="s">
        <v>37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2">
        <f t="shared" si="5"/>
        <v>0</v>
      </c>
      <c r="AA39" s="6"/>
      <c r="AB39" s="6"/>
    </row>
    <row r="40" ht="15.0" customHeight="1">
      <c r="A40" s="70" t="s">
        <v>37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2">
        <f t="shared" si="5"/>
        <v>0</v>
      </c>
      <c r="AA40" s="6"/>
      <c r="AB40" s="6"/>
    </row>
    <row r="41" ht="15.0" customHeight="1">
      <c r="A41" s="70" t="s">
        <v>37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2">
        <f t="shared" si="5"/>
        <v>0</v>
      </c>
      <c r="AA41" s="6"/>
      <c r="AB41" s="6"/>
    </row>
    <row r="42" ht="15.0" customHeight="1">
      <c r="A42" s="73" t="s">
        <v>38</v>
      </c>
      <c r="B42" s="71">
        <f t="shared" ref="B42:Y42" si="11">SUM(B39:B41)</f>
        <v>0</v>
      </c>
      <c r="C42" s="71">
        <f t="shared" si="11"/>
        <v>0</v>
      </c>
      <c r="D42" s="71">
        <f t="shared" si="11"/>
        <v>0</v>
      </c>
      <c r="E42" s="71">
        <f t="shared" si="11"/>
        <v>0</v>
      </c>
      <c r="F42" s="71">
        <f t="shared" si="11"/>
        <v>0</v>
      </c>
      <c r="G42" s="71">
        <f t="shared" si="11"/>
        <v>0</v>
      </c>
      <c r="H42" s="71">
        <f t="shared" si="11"/>
        <v>0</v>
      </c>
      <c r="I42" s="71">
        <f t="shared" si="11"/>
        <v>0</v>
      </c>
      <c r="J42" s="71">
        <f t="shared" si="11"/>
        <v>0</v>
      </c>
      <c r="K42" s="71">
        <f t="shared" si="11"/>
        <v>0</v>
      </c>
      <c r="L42" s="71">
        <f t="shared" si="11"/>
        <v>0</v>
      </c>
      <c r="M42" s="71">
        <f t="shared" si="11"/>
        <v>0</v>
      </c>
      <c r="N42" s="71">
        <f t="shared" si="11"/>
        <v>0</v>
      </c>
      <c r="O42" s="71">
        <f t="shared" si="11"/>
        <v>0</v>
      </c>
      <c r="P42" s="71">
        <f t="shared" si="11"/>
        <v>0</v>
      </c>
      <c r="Q42" s="71">
        <f t="shared" si="11"/>
        <v>0</v>
      </c>
      <c r="R42" s="71">
        <f t="shared" si="11"/>
        <v>0</v>
      </c>
      <c r="S42" s="71">
        <f t="shared" si="11"/>
        <v>0</v>
      </c>
      <c r="T42" s="71">
        <f t="shared" si="11"/>
        <v>0</v>
      </c>
      <c r="U42" s="71">
        <f t="shared" si="11"/>
        <v>0</v>
      </c>
      <c r="V42" s="71">
        <f t="shared" si="11"/>
        <v>0</v>
      </c>
      <c r="W42" s="71">
        <f t="shared" si="11"/>
        <v>0</v>
      </c>
      <c r="X42" s="71">
        <f t="shared" si="11"/>
        <v>0</v>
      </c>
      <c r="Y42" s="71">
        <f t="shared" si="11"/>
        <v>0</v>
      </c>
      <c r="Z42" s="72">
        <f t="shared" si="5"/>
        <v>0</v>
      </c>
      <c r="AA42" s="6"/>
      <c r="AB42" s="6"/>
    </row>
    <row r="43" ht="15.0" customHeight="1">
      <c r="A43" s="74" t="s">
        <v>39</v>
      </c>
      <c r="B43" s="75"/>
      <c r="C43" s="75"/>
      <c r="D43" s="75"/>
      <c r="E43" s="75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7">
        <f t="shared" si="5"/>
        <v>0</v>
      </c>
      <c r="AA43" s="78">
        <f>Z10-Z43</f>
        <v>0</v>
      </c>
      <c r="AB43" s="79" t="s">
        <v>40</v>
      </c>
    </row>
    <row r="44" ht="15.0" customHeight="1">
      <c r="A44" s="80" t="s">
        <v>41</v>
      </c>
      <c r="B44" s="81">
        <f t="shared" ref="B44:Y44" si="12">SUM(B43,B42,B38,B34,B26,B22,B17)</f>
        <v>0</v>
      </c>
      <c r="C44" s="81">
        <f t="shared" si="12"/>
        <v>0</v>
      </c>
      <c r="D44" s="81">
        <f t="shared" si="12"/>
        <v>0</v>
      </c>
      <c r="E44" s="81">
        <f t="shared" si="12"/>
        <v>0</v>
      </c>
      <c r="F44" s="81">
        <f t="shared" si="12"/>
        <v>0</v>
      </c>
      <c r="G44" s="81">
        <f t="shared" si="12"/>
        <v>0</v>
      </c>
      <c r="H44" s="81">
        <f t="shared" si="12"/>
        <v>0</v>
      </c>
      <c r="I44" s="81">
        <f t="shared" si="12"/>
        <v>0</v>
      </c>
      <c r="J44" s="81">
        <f t="shared" si="12"/>
        <v>0</v>
      </c>
      <c r="K44" s="81">
        <f t="shared" si="12"/>
        <v>0</v>
      </c>
      <c r="L44" s="81">
        <f t="shared" si="12"/>
        <v>0</v>
      </c>
      <c r="M44" s="81">
        <f t="shared" si="12"/>
        <v>0</v>
      </c>
      <c r="N44" s="81">
        <f t="shared" si="12"/>
        <v>0</v>
      </c>
      <c r="O44" s="81">
        <f t="shared" si="12"/>
        <v>0</v>
      </c>
      <c r="P44" s="81">
        <f t="shared" si="12"/>
        <v>0</v>
      </c>
      <c r="Q44" s="81">
        <f t="shared" si="12"/>
        <v>0</v>
      </c>
      <c r="R44" s="81">
        <f t="shared" si="12"/>
        <v>0</v>
      </c>
      <c r="S44" s="81">
        <f t="shared" si="12"/>
        <v>0</v>
      </c>
      <c r="T44" s="81">
        <f t="shared" si="12"/>
        <v>0</v>
      </c>
      <c r="U44" s="81">
        <f t="shared" si="12"/>
        <v>0</v>
      </c>
      <c r="V44" s="81">
        <f t="shared" si="12"/>
        <v>0</v>
      </c>
      <c r="W44" s="81">
        <f t="shared" si="12"/>
        <v>0</v>
      </c>
      <c r="X44" s="81">
        <f t="shared" si="12"/>
        <v>0</v>
      </c>
      <c r="Y44" s="81">
        <f t="shared" si="12"/>
        <v>0</v>
      </c>
      <c r="Z44" s="82">
        <f t="shared" si="5"/>
        <v>0</v>
      </c>
      <c r="AA44" s="6"/>
      <c r="AB44" s="6"/>
    </row>
    <row r="45" ht="18.0" customHeight="1">
      <c r="A45" s="83" t="s">
        <v>42</v>
      </c>
      <c r="B45" s="84">
        <f t="shared" ref="B45:Y45" si="13">B11-B44</f>
        <v>0</v>
      </c>
      <c r="C45" s="84">
        <f t="shared" si="13"/>
        <v>0</v>
      </c>
      <c r="D45" s="84">
        <f t="shared" si="13"/>
        <v>0</v>
      </c>
      <c r="E45" s="84">
        <f t="shared" si="13"/>
        <v>0</v>
      </c>
      <c r="F45" s="84">
        <f t="shared" si="13"/>
        <v>0</v>
      </c>
      <c r="G45" s="84">
        <f t="shared" si="13"/>
        <v>0</v>
      </c>
      <c r="H45" s="84">
        <f t="shared" si="13"/>
        <v>0</v>
      </c>
      <c r="I45" s="84">
        <f t="shared" si="13"/>
        <v>0</v>
      </c>
      <c r="J45" s="84">
        <f t="shared" si="13"/>
        <v>0</v>
      </c>
      <c r="K45" s="84">
        <f t="shared" si="13"/>
        <v>0</v>
      </c>
      <c r="L45" s="84">
        <f t="shared" si="13"/>
        <v>0</v>
      </c>
      <c r="M45" s="84">
        <f t="shared" si="13"/>
        <v>0</v>
      </c>
      <c r="N45" s="84">
        <f t="shared" si="13"/>
        <v>0</v>
      </c>
      <c r="O45" s="84">
        <f t="shared" si="13"/>
        <v>0</v>
      </c>
      <c r="P45" s="84">
        <f t="shared" si="13"/>
        <v>0</v>
      </c>
      <c r="Q45" s="84">
        <f t="shared" si="13"/>
        <v>0</v>
      </c>
      <c r="R45" s="84">
        <f t="shared" si="13"/>
        <v>0</v>
      </c>
      <c r="S45" s="84">
        <f t="shared" si="13"/>
        <v>0</v>
      </c>
      <c r="T45" s="84">
        <f t="shared" si="13"/>
        <v>0</v>
      </c>
      <c r="U45" s="84">
        <f t="shared" si="13"/>
        <v>0</v>
      </c>
      <c r="V45" s="84">
        <f t="shared" si="13"/>
        <v>0</v>
      </c>
      <c r="W45" s="84">
        <f t="shared" si="13"/>
        <v>0</v>
      </c>
      <c r="X45" s="84">
        <f t="shared" si="13"/>
        <v>0</v>
      </c>
      <c r="Y45" s="84">
        <f t="shared" si="13"/>
        <v>0</v>
      </c>
      <c r="Z45" s="85">
        <f t="shared" si="5"/>
        <v>0</v>
      </c>
      <c r="AA45" s="6"/>
      <c r="AB45" s="6"/>
    </row>
    <row r="46" ht="18.75" customHeight="1">
      <c r="A46" s="86" t="s">
        <v>43</v>
      </c>
      <c r="B46" s="87">
        <f>B47+B45</f>
        <v>0</v>
      </c>
      <c r="C46" s="88">
        <f t="shared" ref="C46:Y46" si="14">B46+C45</f>
        <v>0</v>
      </c>
      <c r="D46" s="88">
        <f t="shared" si="14"/>
        <v>0</v>
      </c>
      <c r="E46" s="88">
        <f t="shared" si="14"/>
        <v>0</v>
      </c>
      <c r="F46" s="88">
        <f t="shared" si="14"/>
        <v>0</v>
      </c>
      <c r="G46" s="88">
        <f t="shared" si="14"/>
        <v>0</v>
      </c>
      <c r="H46" s="88">
        <f t="shared" si="14"/>
        <v>0</v>
      </c>
      <c r="I46" s="88">
        <f t="shared" si="14"/>
        <v>0</v>
      </c>
      <c r="J46" s="88">
        <f t="shared" si="14"/>
        <v>0</v>
      </c>
      <c r="K46" s="88">
        <f t="shared" si="14"/>
        <v>0</v>
      </c>
      <c r="L46" s="88">
        <f t="shared" si="14"/>
        <v>0</v>
      </c>
      <c r="M46" s="88">
        <f t="shared" si="14"/>
        <v>0</v>
      </c>
      <c r="N46" s="88">
        <f t="shared" si="14"/>
        <v>0</v>
      </c>
      <c r="O46" s="88">
        <f t="shared" si="14"/>
        <v>0</v>
      </c>
      <c r="P46" s="88">
        <f t="shared" si="14"/>
        <v>0</v>
      </c>
      <c r="Q46" s="88">
        <f t="shared" si="14"/>
        <v>0</v>
      </c>
      <c r="R46" s="88">
        <f t="shared" si="14"/>
        <v>0</v>
      </c>
      <c r="S46" s="88">
        <f t="shared" si="14"/>
        <v>0</v>
      </c>
      <c r="T46" s="88">
        <f t="shared" si="14"/>
        <v>0</v>
      </c>
      <c r="U46" s="88">
        <f t="shared" si="14"/>
        <v>0</v>
      </c>
      <c r="V46" s="88">
        <f t="shared" si="14"/>
        <v>0</v>
      </c>
      <c r="W46" s="88">
        <f t="shared" si="14"/>
        <v>0</v>
      </c>
      <c r="X46" s="88">
        <f t="shared" si="14"/>
        <v>0</v>
      </c>
      <c r="Y46" s="88">
        <f t="shared" si="14"/>
        <v>0</v>
      </c>
      <c r="Z46" s="89"/>
      <c r="AA46" s="6"/>
      <c r="AB46" s="6"/>
    </row>
    <row r="47" ht="19.5" customHeight="1">
      <c r="A47" s="90" t="s">
        <v>44</v>
      </c>
      <c r="B47" s="91">
        <v>0.0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9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9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9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9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9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9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9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9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9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9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9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9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9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9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9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9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9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9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9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9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9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9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9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9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9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9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9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9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9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9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9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9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9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9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9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9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9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9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9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9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9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9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9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9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9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9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9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9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9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9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9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9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9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9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9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9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9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9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9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9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9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9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9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9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9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9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9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9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9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9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9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9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9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9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9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9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9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9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9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9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9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9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9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9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9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9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9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9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9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9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9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9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9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9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9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9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9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9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9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9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9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9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9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9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9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9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9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9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9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9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9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9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9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9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9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9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9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9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9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9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9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9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9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9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9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9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9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9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9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9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9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9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9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9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9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9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9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9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9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9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9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9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9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9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9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9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9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9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9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9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9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9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9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9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9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9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9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9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9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9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9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9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9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9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9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9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9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9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9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9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9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9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9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9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9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9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9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9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9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9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9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9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9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9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9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9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9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9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9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9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9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9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9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9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9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9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9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9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9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9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9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9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9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9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9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9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9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9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9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9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9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9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9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9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9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9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9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9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9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9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9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9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9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9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9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9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9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9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9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9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9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9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9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9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9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9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9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9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9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9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9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9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9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9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9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9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9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9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9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9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9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9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9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9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9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9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9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9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9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9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9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9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9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9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9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9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9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9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9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9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9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9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9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9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9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9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9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9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9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9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9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9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9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9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9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9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9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9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9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9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9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9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9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9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9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9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9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9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9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9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9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9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9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9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9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9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9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9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9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9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9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9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9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9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9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9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9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9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9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9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9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9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9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9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9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9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9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9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9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9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9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9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9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9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9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9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9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9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9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9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9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9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9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9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9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9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9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9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9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9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9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9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9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9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9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9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9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9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9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9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9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9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9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9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9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9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9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9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9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9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9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9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9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9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9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9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9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9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9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9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9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9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9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9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9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9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9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9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9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9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9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9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9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9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9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9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9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9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9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9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9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9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9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9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9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9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9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9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9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9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9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9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9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9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9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9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9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9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9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9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9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9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9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9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9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9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9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9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9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9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9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9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9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9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9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9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9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9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9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9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9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9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9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9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9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9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9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9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9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9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9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9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9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9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9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9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9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9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9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9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9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9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9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9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9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9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9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9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9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9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9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9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9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9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9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9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9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9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9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9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9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9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9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9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9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9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9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9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9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9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9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9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9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9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9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9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9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9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9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9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9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9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9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9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9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9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9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9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9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9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9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9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9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9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9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9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9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9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9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9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9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9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9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9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9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9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9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9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9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9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9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9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9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9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9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9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9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9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9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9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9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9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9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9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9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9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9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9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9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9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9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9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9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9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9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9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9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9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9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9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9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9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9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9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9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9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9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9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9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9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9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9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9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9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9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9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9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9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9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9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9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9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9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9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9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9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9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9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9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9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9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9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9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9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9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9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9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9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9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9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9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9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9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9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9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9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9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9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9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9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9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9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9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9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9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9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9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9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9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9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9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9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9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9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9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9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9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9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9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9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9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9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9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9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9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9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9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9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9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9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9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9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9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9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9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9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9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9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9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9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9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9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9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9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9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9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9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9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9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9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9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9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9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9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9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9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9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9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9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9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9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9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9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9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9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9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9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9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9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9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9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9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9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9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9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9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9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9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9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9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9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9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9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9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9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9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9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9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9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9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9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9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9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9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9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9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9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9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9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9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9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9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9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9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9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9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9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9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9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9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9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9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9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9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9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9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9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9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9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9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9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9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9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9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9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9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9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9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9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9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9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9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9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9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9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9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9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9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9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9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9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9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9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9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9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9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9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9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9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9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9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9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9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9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9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9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9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9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9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9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9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9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9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9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9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9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9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9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9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9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9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9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9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9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9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9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9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9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9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9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9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9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9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9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9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9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9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9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9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9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9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9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9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9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9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9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9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9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9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9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9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9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9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9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9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9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9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9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9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9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9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9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9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9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9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9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9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9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9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9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9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9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9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9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9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9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9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9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9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9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9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9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9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9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9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9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9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9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9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9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9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9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9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9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9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9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9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9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9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9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9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9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9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9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9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9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9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9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9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9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9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9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9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9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9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9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9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9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9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9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9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9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9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9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9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9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9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9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9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9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9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9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9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9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9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9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9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9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9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9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9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9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9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9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9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9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9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9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9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9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9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9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9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9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9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9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9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9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9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9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9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9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9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9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9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9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9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9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9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9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9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9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9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9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9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9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9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9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9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9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9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9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9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9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9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9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9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9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9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9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9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2009-08-25T08:26:45Z</dcterms:created>
  <dc:creator>adamchik</dc:creator>
</cp:coreProperties>
</file>