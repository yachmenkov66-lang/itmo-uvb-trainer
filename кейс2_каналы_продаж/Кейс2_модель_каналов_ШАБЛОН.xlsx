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шение" sheetId="1" state="visible" r:id="rId1"/>
    <sheet name="Данные" sheetId="2" state="visible" r:id="rId2"/>
    <sheet name="Анализ" sheetId="3" state="visible" r:id="rId3"/>
    <sheet name="Ворон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₽&quot;"/>
    <numFmt numFmtId="165" formatCode="0.0%"/>
    <numFmt numFmtId="166" formatCode="0.0"/>
    <numFmt numFmtId="167" formatCode="0.00&quot;×&quot;"/>
    <numFmt numFmtId="168" formatCode="+#,##0&quot; ₽&quot;;-#,##0&quot; ₽&quot;;0&quot; ₽&quot;"/>
    <numFmt numFmtId="169" formatCode="+0%;-0%;0%"/>
  </numFmts>
  <fonts count="10">
    <font>
      <name val="Calibri"/>
      <family val="2"/>
      <color theme="1"/>
      <sz val="11"/>
      <scheme val="minor"/>
    </font>
    <font>
      <b val="1"/>
      <color rgb="001F2A37"/>
      <sz val="16"/>
    </font>
    <font>
      <i val="1"/>
      <color rgb="006B7280"/>
    </font>
    <font>
      <b val="1"/>
      <color rgb="00C00000"/>
    </font>
    <font>
      <b val="1"/>
      <color rgb="00FFFFFF"/>
    </font>
    <font>
      <b val="1"/>
    </font>
    <font>
      <b val="1"/>
      <color rgb="001F4E79"/>
    </font>
    <font>
      <color rgb="004B5563"/>
    </font>
    <font>
      <color rgb="00FFFFFF"/>
      <sz val="8"/>
    </font>
    <font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EF3E8"/>
      </patternFill>
    </fill>
  </fills>
  <borders count="6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9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4" fontId="5" fillId="5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pivotButton="0" quotePrefix="0" xfId="0"/>
    <xf numFmtId="167" fontId="5" fillId="4" borderId="1" pivotButton="0" quotePrefix="0" xfId="0"/>
    <xf numFmtId="165" fontId="5" fillId="4" borderId="1" pivotButton="0" quotePrefix="0" xfId="0"/>
    <xf numFmtId="2" fontId="5" fillId="4" borderId="1" pivotButton="0" quotePrefix="0" xfId="0"/>
    <xf numFmtId="168" fontId="5" fillId="4" borderId="1" pivotButton="0" quotePrefix="0" xfId="0"/>
    <xf numFmtId="169" fontId="5" fillId="4" borderId="1" pivotButton="0" quotePrefix="0" xfId="0"/>
    <xf numFmtId="0" fontId="6" fillId="0" borderId="0" pivotButton="0" quotePrefix="0" xfId="0"/>
    <xf numFmtId="0" fontId="5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5" fillId="5" borderId="1" pivotButton="0" quotePrefix="0" xfId="0"/>
    <xf numFmtId="0" fontId="3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4" borderId="0" pivotButton="0" quotePrefix="0" xfId="0"/>
    <xf numFmtId="0" fontId="0" fillId="4" borderId="0" pivotButton="0" quotePrefix="0" xfId="0"/>
    <xf numFmtId="165" fontId="0" fillId="3" borderId="1" pivotButton="0" quotePrefix="0" xfId="0"/>
    <xf numFmtId="166" fontId="0" fillId="3" borderId="1" pivotButton="0" quotePrefix="0" xfId="0"/>
    <xf numFmtId="0" fontId="7" fillId="0" borderId="0" pivotButton="0" quotePrefix="0" xfId="0"/>
    <xf numFmtId="3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10" fontId="5" fillId="4" borderId="1" pivotButton="0" quotePrefix="0" xfId="0"/>
    <xf numFmtId="1" fontId="5" fillId="4" borderId="1" pivotButton="0" quotePrefix="0" xfId="0"/>
    <xf numFmtId="167" fontId="5" fillId="5" borderId="0" pivotButton="0" quotePrefix="0" xfId="0"/>
    <xf numFmtId="0" fontId="8" fillId="0" borderId="0" pivotButton="0" quotePrefix="0" xfId="0"/>
    <xf numFmtId="165" fontId="0" fillId="0" borderId="1" applyAlignment="1" pivotButton="0" quotePrefix="0" xfId="0">
      <alignment horizontal="right"/>
    </xf>
    <xf numFmtId="3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Бюджет следующего года по каналам</a:t>
            </a:r>
          </a:p>
        </rich>
      </tx>
    </title>
    <plotArea>
      <doughnutChart>
        <varyColors val="1"/>
        <ser>
          <idx val="0"/>
          <order val="0"/>
          <tx>
            <strRef>
              <f>'Решение'!I5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4E7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86A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18F0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73E1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B8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8E5BA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7A8B99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'Решение'!$A$6:$A$12</f>
            </numRef>
          </cat>
          <val>
            <numRef>
              <f>'Решение'!$I$6:$I$12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Для сравнения: бюджет этого года</a:t>
            </a:r>
          </a:p>
        </rich>
      </tx>
    </title>
    <plotArea>
      <doughnutChart>
        <varyColors val="1"/>
        <ser>
          <idx val="0"/>
          <order val="0"/>
          <tx>
            <strRef>
              <f>'Решение'!B5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4E7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86A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18F0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73E1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B8B5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8E5BA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7A8B99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'Решение'!$A$6:$A$12</f>
            </numRef>
          </cat>
          <val>
            <numRef>
              <f>'Решение'!$B$6:$B$12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ROAS по каналам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'Анализ'!M4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'Анализ'!$A$5:$A$11</f>
            </numRef>
          </cat>
          <val>
            <numRef>
              <f>'Анализ'!$M$5:$M$11</f>
            </numRef>
          </val>
        </ser>
        <dLbls>
          <numFmt formatCode="0.0"/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выручка на 1 ₽ рекламы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Воронка продаж: от перехода до заказа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'Воронка'!H4</f>
            </strRef>
          </tx>
          <spPr>
            <a:noFill/>
            <a:ln>
              <a:noFill/>
              <a:prstDash val="solid"/>
            </a:ln>
          </spPr>
          <cat>
            <numRef>
              <f>'Воронка'!$G$5:$G$7</f>
            </numRef>
          </cat>
          <val>
            <numRef>
              <f>'Воронка'!$H$5:$H$7</f>
            </numRef>
          </val>
        </ser>
        <ser>
          <idx val="1"/>
          <order val="1"/>
          <tx>
            <strRef>
              <f>'Воронка'!I4</f>
            </strRef>
          </tx>
          <spPr>
            <a:solidFill>
              <a:srgbClr val="1F4E79"/>
            </a:solidFill>
            <a:ln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'Воронка'!$G$5:$G$7</f>
            </numRef>
          </cat>
          <val>
            <numRef>
              <f>'Воронка'!$I$5:$I$7</f>
            </numRef>
          </val>
        </ser>
        <gapWidth val="3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9" customWidth="1" min="3" max="3"/>
    <col width="9" customWidth="1" min="4" max="4"/>
    <col width="12" customWidth="1" min="5" max="5"/>
    <col width="15" customWidth="1" min="6" max="6"/>
    <col width="14" customWidth="1" min="7" max="7"/>
    <col width="13" customWidth="1" min="8" max="8"/>
    <col width="17" customWidth="1" min="9" max="9"/>
    <col width="15" customWidth="1" min="10" max="10"/>
    <col width="12" customWidth="1" min="11" max="11"/>
    <col width="14" customWidth="1" min="12" max="12"/>
    <col width="19" customWidth="1" min="13" max="13"/>
  </cols>
  <sheetData>
    <row r="1">
      <c r="A1" s="1" t="inlineStr">
        <is>
          <t>Решение: бюджет маркетинга на следующий год</t>
        </is>
      </c>
    </row>
    <row r="2">
      <c r="A2" s="2" t="inlineStr">
        <is>
          <t>Доля канала меняется пропорционально его ROAS к среднему, в пределах потолка и пола. Параметры — на листе «Данные».</t>
        </is>
      </c>
    </row>
    <row r="3">
      <c r="A3" s="3" t="inlineStr">
        <is>
          <t>Общий бюджет следующего года</t>
        </is>
      </c>
      <c r="B3" s="4">
        <f>ROUND(Данные!B12*(1+Данные!$B$17),-3)</f>
        <v/>
      </c>
    </row>
    <row r="5" ht="60" customHeight="1">
      <c r="A5" s="5" t="inlineStr">
        <is>
          <t>Канал продаж</t>
        </is>
      </c>
      <c r="B5" s="5" t="inlineStr">
        <is>
          <t>Бюджет этого года, ₽</t>
        </is>
      </c>
      <c r="C5" s="5" t="inlineStr">
        <is>
          <t>ROAS</t>
        </is>
      </c>
      <c r="D5" s="5" t="inlineStr">
        <is>
          <t>ROMI</t>
        </is>
      </c>
      <c r="E5" s="5" t="inlineStr">
        <is>
          <t>Множитель
по ROAS</t>
        </is>
      </c>
      <c r="F5" s="5" t="inlineStr">
        <is>
          <t>Множитель
с ограничениями</t>
        </is>
      </c>
      <c r="G5" s="5" t="inlineStr">
        <is>
          <t>Вес</t>
        </is>
      </c>
      <c r="H5" s="5" t="inlineStr">
        <is>
          <t>Доля в новом
бюджете</t>
        </is>
      </c>
      <c r="I5" s="5" t="inlineStr">
        <is>
          <t>НОВЫЙ БЮДЖЕТ, ₽</t>
        </is>
      </c>
      <c r="J5" s="5" t="inlineStr">
        <is>
          <t>Изменение, ₽</t>
        </is>
      </c>
      <c r="K5" s="5" t="inlineStr">
        <is>
          <t>Изменение, %</t>
        </is>
      </c>
      <c r="L5" s="5" t="inlineStr">
        <is>
          <t>Решение</t>
        </is>
      </c>
      <c r="M5" s="5" t="inlineStr">
        <is>
          <t>Ожидаемая выручка
(верхняя оценка), ₽</t>
        </is>
      </c>
    </row>
    <row r="6">
      <c r="A6" s="6">
        <f>Анализ!A5</f>
        <v/>
      </c>
      <c r="B6" s="7">
        <f>Анализ!B5</f>
        <v/>
      </c>
      <c r="C6" s="8">
        <f>Анализ!M5</f>
        <v/>
      </c>
      <c r="D6" s="9">
        <f>Анализ!P5</f>
        <v/>
      </c>
      <c r="E6" s="10">
        <f>IF(Анализ!$M$12=0,1,(C6/Анализ!$M$12)^Данные!$B$18)</f>
        <v/>
      </c>
      <c r="F6" s="10">
        <f>MIN(MAX(E6,Данные!$B$20),Данные!$B$19)</f>
        <v/>
      </c>
      <c r="G6" s="7">
        <f>B6*F6</f>
        <v/>
      </c>
      <c r="H6" s="9">
        <f>IF($G$13=0,0,G6/$G$13)</f>
        <v/>
      </c>
      <c r="I6" s="11">
        <f>ROUND(H6*$B$3,0)</f>
        <v/>
      </c>
      <c r="J6" s="12">
        <f>I6-B6</f>
        <v/>
      </c>
      <c r="K6" s="13">
        <f>IF(B6=0,0,I6/B6-1)</f>
        <v/>
      </c>
      <c r="L6" s="14">
        <f>IF(K6&gt;Данные!$B$21,"Увеличить",IF(K6&lt;-Данные!$B$21,"Сократить","Сохранить"))</f>
        <v/>
      </c>
      <c r="M6" s="7">
        <f>I6*C6</f>
        <v/>
      </c>
    </row>
    <row r="7">
      <c r="A7" s="6">
        <f>Анализ!A6</f>
        <v/>
      </c>
      <c r="B7" s="7">
        <f>Анализ!B6</f>
        <v/>
      </c>
      <c r="C7" s="8">
        <f>Анализ!M6</f>
        <v/>
      </c>
      <c r="D7" s="9">
        <f>Анализ!P6</f>
        <v/>
      </c>
      <c r="E7" s="10">
        <f>IF(Анализ!$M$12=0,1,(C7/Анализ!$M$12)^Данные!$B$18)</f>
        <v/>
      </c>
      <c r="F7" s="10">
        <f>MIN(MAX(E7,Данные!$B$20),Данные!$B$19)</f>
        <v/>
      </c>
      <c r="G7" s="7">
        <f>B7*F7</f>
        <v/>
      </c>
      <c r="H7" s="9">
        <f>IF($G$13=0,0,G7/$G$13)</f>
        <v/>
      </c>
      <c r="I7" s="11">
        <f>ROUND(H7*$B$3,0)</f>
        <v/>
      </c>
      <c r="J7" s="12">
        <f>I7-B7</f>
        <v/>
      </c>
      <c r="K7" s="13">
        <f>IF(B7=0,0,I7/B7-1)</f>
        <v/>
      </c>
      <c r="L7" s="14">
        <f>IF(K7&gt;Данные!$B$21,"Увеличить",IF(K7&lt;-Данные!$B$21,"Сократить","Сохранить"))</f>
        <v/>
      </c>
      <c r="M7" s="7">
        <f>I7*C7</f>
        <v/>
      </c>
    </row>
    <row r="8">
      <c r="A8" s="6">
        <f>Анализ!A7</f>
        <v/>
      </c>
      <c r="B8" s="7">
        <f>Анализ!B7</f>
        <v/>
      </c>
      <c r="C8" s="8">
        <f>Анализ!M7</f>
        <v/>
      </c>
      <c r="D8" s="9">
        <f>Анализ!P7</f>
        <v/>
      </c>
      <c r="E8" s="10">
        <f>IF(Анализ!$M$12=0,1,(C8/Анализ!$M$12)^Данные!$B$18)</f>
        <v/>
      </c>
      <c r="F8" s="10">
        <f>MIN(MAX(E8,Данные!$B$20),Данные!$B$19)</f>
        <v/>
      </c>
      <c r="G8" s="7">
        <f>B8*F8</f>
        <v/>
      </c>
      <c r="H8" s="9">
        <f>IF($G$13=0,0,G8/$G$13)</f>
        <v/>
      </c>
      <c r="I8" s="11">
        <f>ROUND(H8*$B$3,0)</f>
        <v/>
      </c>
      <c r="J8" s="12">
        <f>I8-B8</f>
        <v/>
      </c>
      <c r="K8" s="13">
        <f>IF(B8=0,0,I8/B8-1)</f>
        <v/>
      </c>
      <c r="L8" s="14">
        <f>IF(K8&gt;Данные!$B$21,"Увеличить",IF(K8&lt;-Данные!$B$21,"Сократить","Сохранить"))</f>
        <v/>
      </c>
      <c r="M8" s="7">
        <f>I8*C8</f>
        <v/>
      </c>
    </row>
    <row r="9">
      <c r="A9" s="6">
        <f>Анализ!A8</f>
        <v/>
      </c>
      <c r="B9" s="7">
        <f>Анализ!B8</f>
        <v/>
      </c>
      <c r="C9" s="8">
        <f>Анализ!M8</f>
        <v/>
      </c>
      <c r="D9" s="9">
        <f>Анализ!P8</f>
        <v/>
      </c>
      <c r="E9" s="10">
        <f>IF(Анализ!$M$12=0,1,(C9/Анализ!$M$12)^Данные!$B$18)</f>
        <v/>
      </c>
      <c r="F9" s="10">
        <f>MIN(MAX(E9,Данные!$B$20),Данные!$B$19)</f>
        <v/>
      </c>
      <c r="G9" s="7">
        <f>B9*F9</f>
        <v/>
      </c>
      <c r="H9" s="9">
        <f>IF($G$13=0,0,G9/$G$13)</f>
        <v/>
      </c>
      <c r="I9" s="11">
        <f>ROUND(H9*$B$3,0)</f>
        <v/>
      </c>
      <c r="J9" s="12">
        <f>I9-B9</f>
        <v/>
      </c>
      <c r="K9" s="13">
        <f>IF(B9=0,0,I9/B9-1)</f>
        <v/>
      </c>
      <c r="L9" s="14">
        <f>IF(K9&gt;Данные!$B$21,"Увеличить",IF(K9&lt;-Данные!$B$21,"Сократить","Сохранить"))</f>
        <v/>
      </c>
      <c r="M9" s="7">
        <f>I9*C9</f>
        <v/>
      </c>
    </row>
    <row r="10">
      <c r="A10" s="6">
        <f>Анализ!A9</f>
        <v/>
      </c>
      <c r="B10" s="7">
        <f>Анализ!B9</f>
        <v/>
      </c>
      <c r="C10" s="8">
        <f>Анализ!M9</f>
        <v/>
      </c>
      <c r="D10" s="9">
        <f>Анализ!P9</f>
        <v/>
      </c>
      <c r="E10" s="10">
        <f>IF(Анализ!$M$12=0,1,(C10/Анализ!$M$12)^Данные!$B$18)</f>
        <v/>
      </c>
      <c r="F10" s="10">
        <f>MIN(MAX(E10,Данные!$B$20),Данные!$B$19)</f>
        <v/>
      </c>
      <c r="G10" s="7">
        <f>B10*F10</f>
        <v/>
      </c>
      <c r="H10" s="9">
        <f>IF($G$13=0,0,G10/$G$13)</f>
        <v/>
      </c>
      <c r="I10" s="11">
        <f>ROUND(H10*$B$3,0)</f>
        <v/>
      </c>
      <c r="J10" s="12">
        <f>I10-B10</f>
        <v/>
      </c>
      <c r="K10" s="13">
        <f>IF(B10=0,0,I10/B10-1)</f>
        <v/>
      </c>
      <c r="L10" s="14">
        <f>IF(K10&gt;Данные!$B$21,"Увеличить",IF(K10&lt;-Данные!$B$21,"Сократить","Сохранить"))</f>
        <v/>
      </c>
      <c r="M10" s="7">
        <f>I10*C10</f>
        <v/>
      </c>
    </row>
    <row r="11">
      <c r="A11" s="6">
        <f>Анализ!A10</f>
        <v/>
      </c>
      <c r="B11" s="7">
        <f>Анализ!B10</f>
        <v/>
      </c>
      <c r="C11" s="8">
        <f>Анализ!M10</f>
        <v/>
      </c>
      <c r="D11" s="9">
        <f>Анализ!P10</f>
        <v/>
      </c>
      <c r="E11" s="10">
        <f>IF(Анализ!$M$12=0,1,(C11/Анализ!$M$12)^Данные!$B$18)</f>
        <v/>
      </c>
      <c r="F11" s="10">
        <f>MIN(MAX(E11,Данные!$B$20),Данные!$B$19)</f>
        <v/>
      </c>
      <c r="G11" s="7">
        <f>B11*F11</f>
        <v/>
      </c>
      <c r="H11" s="9">
        <f>IF($G$13=0,0,G11/$G$13)</f>
        <v/>
      </c>
      <c r="I11" s="11">
        <f>ROUND(H11*$B$3,0)</f>
        <v/>
      </c>
      <c r="J11" s="12">
        <f>I11-B11</f>
        <v/>
      </c>
      <c r="K11" s="13">
        <f>IF(B11=0,0,I11/B11-1)</f>
        <v/>
      </c>
      <c r="L11" s="14">
        <f>IF(K11&gt;Данные!$B$21,"Увеличить",IF(K11&lt;-Данные!$B$21,"Сократить","Сохранить"))</f>
        <v/>
      </c>
      <c r="M11" s="7">
        <f>I11*C11</f>
        <v/>
      </c>
    </row>
    <row r="12">
      <c r="A12" s="6">
        <f>Анализ!A11</f>
        <v/>
      </c>
      <c r="B12" s="7">
        <f>Анализ!B11</f>
        <v/>
      </c>
      <c r="C12" s="8">
        <f>Анализ!M11</f>
        <v/>
      </c>
      <c r="D12" s="9">
        <f>Анализ!P11</f>
        <v/>
      </c>
      <c r="E12" s="10">
        <f>IF(Анализ!$M$12=0,1,(C12/Анализ!$M$12)^Данные!$B$18)</f>
        <v/>
      </c>
      <c r="F12" s="10">
        <f>MIN(MAX(E12,Данные!$B$20),Данные!$B$19)</f>
        <v/>
      </c>
      <c r="G12" s="7">
        <f>B12*F12</f>
        <v/>
      </c>
      <c r="H12" s="9">
        <f>IF($G$13=0,0,G12/$G$13)</f>
        <v/>
      </c>
      <c r="I12" s="11">
        <f>ROUND(H12*$B$3,0)</f>
        <v/>
      </c>
      <c r="J12" s="12">
        <f>I12-B12</f>
        <v/>
      </c>
      <c r="K12" s="13">
        <f>IF(B12=0,0,I12/B12-1)</f>
        <v/>
      </c>
      <c r="L12" s="14">
        <f>IF(K12&gt;Данные!$B$21,"Увеличить",IF(K12&lt;-Данные!$B$21,"Сократить","Сохранить"))</f>
        <v/>
      </c>
      <c r="M12" s="7">
        <f>I12*C12</f>
        <v/>
      </c>
    </row>
    <row r="13">
      <c r="A13" s="15" t="inlineStr">
        <is>
          <t>ИТОГО</t>
        </is>
      </c>
      <c r="B13" s="16">
        <f>SUM(B6:B12)</f>
        <v/>
      </c>
      <c r="C13" s="17">
        <f>Анализ!M12</f>
        <v/>
      </c>
      <c r="D13" s="18">
        <f>Анализ!P12</f>
        <v/>
      </c>
      <c r="E13" s="19" t="n"/>
      <c r="F13" s="19" t="n"/>
      <c r="G13" s="16">
        <f>SUM(G6:G12)</f>
        <v/>
      </c>
      <c r="H13" s="18">
        <f>SUM(H6:H12)</f>
        <v/>
      </c>
      <c r="I13" s="16">
        <f>SUM(I6:I12)</f>
        <v/>
      </c>
      <c r="J13" s="20">
        <f>SUM(J6:J12)</f>
        <v/>
      </c>
      <c r="K13" s="21">
        <f>IF(B13=0,0,I13/B13-1)</f>
        <v/>
      </c>
      <c r="L13" s="15" t="n"/>
      <c r="M13" s="16">
        <f>SUM(M6:M12)</f>
        <v/>
      </c>
    </row>
    <row r="15">
      <c r="A15" s="22" t="inlineStr">
        <is>
          <t>ВЫВОДЫ ДЛЯ ПИТЧА</t>
        </is>
      </c>
    </row>
    <row r="16">
      <c r="A16" s="6" t="inlineStr">
        <is>
          <t>Больше всего денег получает</t>
        </is>
      </c>
      <c r="B16" s="23">
        <f>INDEX(A6:A12,MATCH(MAX(I6:I12),I6:I12,0))&amp;" — "&amp;FIXED(MAX(I6:I12),0)&amp;" ₽"</f>
        <v/>
      </c>
      <c r="C16" s="24" t="n"/>
      <c r="D16" s="24" t="n"/>
      <c r="E16" s="24" t="n"/>
      <c r="F16" s="25" t="n"/>
    </row>
    <row r="17">
      <c r="A17" s="6" t="inlineStr">
        <is>
          <t>Самый эффективный канал (ROAS)</t>
        </is>
      </c>
      <c r="B17" s="23">
        <f>INDEX(A6:A12,MATCH(MAX(C6:C12),C6:C12,0))&amp;" — ROAS "&amp;FIXED(MAX(C6:C12),1)</f>
        <v/>
      </c>
      <c r="C17" s="24" t="n"/>
      <c r="D17" s="24" t="n"/>
      <c r="E17" s="24" t="n"/>
      <c r="F17" s="25" t="n"/>
    </row>
    <row r="18">
      <c r="A18" s="6" t="inlineStr">
        <is>
          <t>Самый слабый канал (ROAS)</t>
        </is>
      </c>
      <c r="B18" s="23">
        <f>INDEX(A6:A12,MATCH(MIN(C6:C12),C6:C12,0))&amp;" — ROAS "&amp;FIXED(MIN(C6:C12),1)</f>
        <v/>
      </c>
      <c r="C18" s="24" t="n"/>
      <c r="D18" s="24" t="n"/>
      <c r="E18" s="24" t="n"/>
      <c r="F18" s="25" t="n"/>
    </row>
    <row r="19">
      <c r="A19" s="6" t="inlineStr">
        <is>
          <t>Каналов работает в убыток (ROMI &lt; 0)</t>
        </is>
      </c>
      <c r="B19" s="23">
        <f>COUNTIF(D6:D12,"&lt;0")</f>
        <v/>
      </c>
      <c r="C19" s="24" t="n"/>
      <c r="D19" s="24" t="n"/>
      <c r="E19" s="24" t="n"/>
      <c r="F19" s="25" t="n"/>
    </row>
    <row r="20">
      <c r="A20" s="6" t="inlineStr">
        <is>
          <t>Каналов увеличиваем / сокращаем</t>
        </is>
      </c>
      <c r="B20" s="23">
        <f>COUNTIF(L6:L12,"Увеличить")&amp;" / "&amp;COUNTIF(L6:L12,"Сократить")</f>
        <v/>
      </c>
      <c r="C20" s="24" t="n"/>
      <c r="D20" s="24" t="n"/>
      <c r="E20" s="24" t="n"/>
      <c r="F20" s="25" t="n"/>
    </row>
    <row r="21">
      <c r="A21" s="6" t="inlineStr">
        <is>
          <t>Ожидаемый ROAS с новым бюджетом</t>
        </is>
      </c>
      <c r="B21" s="26">
        <f>IF(I13=0,0,M13/I13)</f>
        <v/>
      </c>
      <c r="C21" s="24" t="n"/>
      <c r="D21" s="24" t="n"/>
      <c r="E21" s="24" t="n"/>
      <c r="F21" s="25" t="n"/>
    </row>
    <row r="22">
      <c r="A22" s="6" t="inlineStr">
        <is>
          <t>ROAS этого года для сравнения</t>
        </is>
      </c>
      <c r="B22" s="26">
        <f>C13</f>
        <v/>
      </c>
      <c r="C22" s="24" t="n"/>
      <c r="D22" s="24" t="n"/>
      <c r="E22" s="24" t="n"/>
      <c r="F22" s="25" t="n"/>
    </row>
    <row r="24">
      <c r="A24" s="2" t="inlineStr">
        <is>
          <t>Ожидаемая выручка — верхняя оценка: при масштабировании ROAS канала обычно снижается, поэтому новые деньги стоит выдавать поэтапно и проверять ROAS ежеквартально.</t>
        </is>
      </c>
    </row>
  </sheetData>
  <mergeCells count="7">
    <mergeCell ref="B21:F21"/>
    <mergeCell ref="B16:F16"/>
    <mergeCell ref="B20:F20"/>
    <mergeCell ref="B19:F19"/>
    <mergeCell ref="B22:F22"/>
    <mergeCell ref="B17:F17"/>
    <mergeCell ref="B18:F18"/>
  </mergeCells>
  <conditionalFormatting sqref="L6:L12">
    <cfRule type="cellIs" priority="1" operator="equal" dxfId="0">
      <formula>"Увеличить"</formula>
    </cfRule>
    <cfRule type="cellIs" priority="2" operator="equal" dxfId="1">
      <formula>"Сократить"</formula>
    </cfRule>
    <cfRule type="cellIs" priority="3" operator="equal" dxfId="2">
      <formula>"Сохранить"</formula>
    </cfRule>
  </conditionalFormatting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9" customWidth="1" min="4" max="4"/>
    <col width="19" customWidth="1" min="5" max="5"/>
    <col width="13" customWidth="1" min="6" max="6"/>
    <col width="17" customWidth="1" min="7" max="7"/>
  </cols>
  <sheetData>
    <row r="1">
      <c r="A1" s="1" t="inlineStr">
        <is>
          <t>Кейс 2. Каналы продаж — исходные данные за год</t>
        </is>
      </c>
    </row>
    <row r="2">
      <c r="A2" s="27" t="inlineStr">
        <is>
          <t>ПРИМЕР ДАННЫХ. Замените жёлтые ячейки реальными цифрами кейса — анализ, воронка и решение пересчитаются сами.</t>
        </is>
      </c>
    </row>
    <row r="4" ht="42" customHeight="1">
      <c r="A4" s="5" t="inlineStr">
        <is>
          <t>Канал продаж</t>
        </is>
      </c>
      <c r="B4" s="5" t="inlineStr">
        <is>
          <t>Расходы за год, ₽</t>
        </is>
      </c>
      <c r="C4" s="5" t="inlineStr">
        <is>
          <t>Показы / охват</t>
        </is>
      </c>
      <c r="D4" s="5" t="inlineStr">
        <is>
          <t>Переходы (клики, визиты)</t>
        </is>
      </c>
      <c r="E4" s="5" t="inlineStr">
        <is>
          <t>Интерес (корзина / заявка)</t>
        </is>
      </c>
      <c r="F4" s="5" t="inlineStr">
        <is>
          <t>Заказы</t>
        </is>
      </c>
      <c r="G4" s="5" t="inlineStr">
        <is>
          <t>Выручка, ₽</t>
        </is>
      </c>
    </row>
    <row r="5">
      <c r="A5" s="6" t="inlineStr">
        <is>
          <t>Таргет ВКонтакте</t>
        </is>
      </c>
      <c r="B5" s="28" t="n">
        <v>900000</v>
      </c>
      <c r="C5" s="29" t="n">
        <v>4500000</v>
      </c>
      <c r="D5" s="29" t="n">
        <v>36000</v>
      </c>
      <c r="E5" s="29" t="n">
        <v>3600</v>
      </c>
      <c r="F5" s="29" t="n">
        <v>720</v>
      </c>
      <c r="G5" s="28" t="n">
        <v>1728000</v>
      </c>
    </row>
    <row r="6">
      <c r="A6" s="6" t="inlineStr">
        <is>
          <t>Блогеры и инфлюенсеры</t>
        </is>
      </c>
      <c r="B6" s="28" t="n">
        <v>1200000</v>
      </c>
      <c r="C6" s="29" t="n">
        <v>6000000</v>
      </c>
      <c r="D6" s="29" t="n">
        <v>90000</v>
      </c>
      <c r="E6" s="29" t="n">
        <v>9000</v>
      </c>
      <c r="F6" s="29" t="n">
        <v>1800</v>
      </c>
      <c r="G6" s="28" t="n">
        <v>4680000</v>
      </c>
    </row>
    <row r="7">
      <c r="A7" s="6" t="inlineStr">
        <is>
          <t>Реклама на маркетплейсах</t>
        </is>
      </c>
      <c r="B7" s="28" t="n">
        <v>1500000</v>
      </c>
      <c r="C7" s="29" t="n">
        <v>12000000</v>
      </c>
      <c r="D7" s="29" t="n">
        <v>240000</v>
      </c>
      <c r="E7" s="29" t="n">
        <v>24000</v>
      </c>
      <c r="F7" s="29" t="n">
        <v>4800</v>
      </c>
      <c r="G7" s="28" t="n">
        <v>10080000</v>
      </c>
    </row>
    <row r="8">
      <c r="A8" s="6" t="inlineStr">
        <is>
          <t>Яндекс Директ</t>
        </is>
      </c>
      <c r="B8" s="28" t="n">
        <v>800000</v>
      </c>
      <c r="C8" s="29" t="n">
        <v>2000000</v>
      </c>
      <c r="D8" s="29" t="n">
        <v>40000</v>
      </c>
      <c r="E8" s="29" t="n">
        <v>2800</v>
      </c>
      <c r="F8" s="29" t="n">
        <v>560</v>
      </c>
      <c r="G8" s="28" t="n">
        <v>1400000</v>
      </c>
    </row>
    <row r="9">
      <c r="A9" s="6" t="inlineStr">
        <is>
          <t>SEO и контент сайта</t>
        </is>
      </c>
      <c r="B9" s="28" t="n">
        <v>400000</v>
      </c>
      <c r="C9" s="29" t="n">
        <v>1500000</v>
      </c>
      <c r="D9" s="29" t="n">
        <v>45000</v>
      </c>
      <c r="E9" s="29" t="n">
        <v>4500</v>
      </c>
      <c r="F9" s="29" t="n">
        <v>1125</v>
      </c>
      <c r="G9" s="28" t="n">
        <v>3037500</v>
      </c>
    </row>
    <row r="10">
      <c r="A10" s="6" t="inlineStr">
        <is>
          <t>Email и Telegram-рассылки</t>
        </is>
      </c>
      <c r="B10" s="28" t="n">
        <v>250000</v>
      </c>
      <c r="C10" s="29" t="n">
        <v>400000</v>
      </c>
      <c r="D10" s="29" t="n">
        <v>20000</v>
      </c>
      <c r="E10" s="29" t="n">
        <v>3000</v>
      </c>
      <c r="F10" s="29" t="n">
        <v>1000</v>
      </c>
      <c r="G10" s="28" t="n">
        <v>3000000</v>
      </c>
    </row>
    <row r="11">
      <c r="A11" s="6" t="inlineStr">
        <is>
          <t>Офлайн: pop-up и фестивали</t>
        </is>
      </c>
      <c r="B11" s="28" t="n">
        <v>700000</v>
      </c>
      <c r="C11" s="29" t="n">
        <v>150000</v>
      </c>
      <c r="D11" s="29" t="n">
        <v>15000</v>
      </c>
      <c r="E11" s="29" t="n">
        <v>3000</v>
      </c>
      <c r="F11" s="29" t="n">
        <v>1050</v>
      </c>
      <c r="G11" s="28" t="n">
        <v>2100000</v>
      </c>
    </row>
    <row r="12">
      <c r="A12" s="15" t="inlineStr">
        <is>
          <t>ИТОГО</t>
        </is>
      </c>
      <c r="B12" s="16">
        <f>SUM(B5:B11)</f>
        <v/>
      </c>
      <c r="C12" s="30">
        <f>SUM(C5:C11)</f>
        <v/>
      </c>
      <c r="D12" s="30">
        <f>SUM(D5:D11)</f>
        <v/>
      </c>
      <c r="E12" s="30">
        <f>SUM(E5:E11)</f>
        <v/>
      </c>
      <c r="F12" s="30">
        <f>SUM(F5:F11)</f>
        <v/>
      </c>
      <c r="G12" s="16">
        <f>SUM(G5:G11)</f>
        <v/>
      </c>
    </row>
    <row r="15">
      <c r="A15" s="31" t="inlineStr">
        <is>
          <t>ПАРАМЕТРЫ РЕШЕНИЯ</t>
        </is>
      </c>
      <c r="B15" s="32" t="n"/>
      <c r="C15" s="32" t="n"/>
    </row>
    <row r="16">
      <c r="A16" s="6" t="inlineStr">
        <is>
          <t>Валовая маржа футболки</t>
        </is>
      </c>
      <c r="B16" s="33" t="n">
        <v>0.55</v>
      </c>
      <c r="C16" s="2" t="inlineStr">
        <is>
          <t>доля выручки, остающаяся после себестоимости</t>
        </is>
      </c>
    </row>
    <row r="17">
      <c r="A17" s="6" t="inlineStr">
        <is>
          <t>Рост общего бюджета на следующий год</t>
        </is>
      </c>
      <c r="B17" s="33" t="n">
        <v>0.15</v>
      </c>
      <c r="C17" s="2" t="inlineStr">
        <is>
          <t>бюджет следующего года = расходы этого × (1 + рост)</t>
        </is>
      </c>
    </row>
    <row r="18">
      <c r="A18" s="6" t="inlineStr">
        <is>
          <t>Чувствительность к ROAS</t>
        </is>
      </c>
      <c r="B18" s="34" t="n">
        <v>1</v>
      </c>
      <c r="C18" s="2" t="inlineStr">
        <is>
          <t>1 — доля канала меняется пропорционально его ROAS к среднему</t>
        </is>
      </c>
    </row>
    <row r="19">
      <c r="A19" s="6" t="inlineStr">
        <is>
          <t>Максимальный рост канала, ×</t>
        </is>
      </c>
      <c r="B19" s="34" t="n">
        <v>2</v>
      </c>
      <c r="C19" s="2" t="inlineStr">
        <is>
          <t>потолок: канал не масштабируется бесконечно — аудитория выгорает</t>
        </is>
      </c>
    </row>
    <row r="20">
      <c r="A20" s="6" t="inlineStr">
        <is>
          <t>Минимальное сохранение канала, ×</t>
        </is>
      </c>
      <c r="B20" s="34" t="n">
        <v>0.5</v>
      </c>
      <c r="C20" s="2" t="inlineStr">
        <is>
          <t>пол: слабый канал режем, но не выключаем — оставляем на тест</t>
        </is>
      </c>
    </row>
    <row r="21">
      <c r="A21" s="6" t="inlineStr">
        <is>
          <t>Порог решения «увеличить / сократить»</t>
        </is>
      </c>
      <c r="B21" s="33" t="n">
        <v>0.1</v>
      </c>
      <c r="C21" s="2" t="inlineStr">
        <is>
          <t>изменение меньше порога считаем «сохранить»</t>
        </is>
      </c>
    </row>
    <row r="23">
      <c r="A23" s="22" t="inlineStr">
        <is>
          <t>Как читать этапы воронки</t>
        </is>
      </c>
    </row>
    <row r="24">
      <c r="A24" s="35" t="inlineStr">
        <is>
          <t>Показы / охват — сколько людей увидели рекламу (для рассылок — доставлено, для офлайна — посетители события).</t>
        </is>
      </c>
    </row>
    <row r="25">
      <c r="A25" s="35" t="inlineStr">
        <is>
          <t>Переходы — клики на сайт или карточку товара (для офлайна — подошли к стенду).</t>
        </is>
      </c>
    </row>
    <row r="26">
      <c r="A26" s="35" t="inlineStr">
        <is>
          <t>Интерес — добавили в корзину или оставили заявку (для офлайна — примерили).</t>
        </is>
      </c>
    </row>
    <row r="27">
      <c r="A27" s="35" t="inlineStr">
        <is>
          <t>Заказы — оплаченные покупки. Выручка — деньги от этих заказов.</t>
        </is>
      </c>
    </row>
  </sheetData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5" customWidth="1" min="15" max="15"/>
    <col width="10" customWidth="1" min="16" max="16"/>
    <col width="11" customWidth="1" min="17" max="17"/>
    <col width="11" customWidth="1" min="18" max="18"/>
    <col width="9" customWidth="1" min="19" max="19"/>
    <col width="20" customWidth="1" min="20" max="20"/>
  </cols>
  <sheetData>
    <row r="1">
      <c r="A1" s="1" t="inlineStr">
        <is>
          <t>Эффективность каналов</t>
        </is>
      </c>
    </row>
    <row r="2">
      <c r="A2" s="2" t="inlineStr">
        <is>
          <t>ROAS = выручка / расходы. ROMI учитывает маржу: сколько валовой прибыли сверх вложенного приносит рубль.</t>
        </is>
      </c>
    </row>
    <row r="4" ht="48" customHeight="1">
      <c r="A4" s="5" t="inlineStr">
        <is>
          <t>Канал продаж</t>
        </is>
      </c>
      <c r="B4" s="5" t="inlineStr">
        <is>
          <t>Расходы, ₽</t>
        </is>
      </c>
      <c r="C4" s="5" t="inlineStr">
        <is>
          <t>Выручка, ₽</t>
        </is>
      </c>
      <c r="D4" s="5" t="inlineStr">
        <is>
          <t>Заказы</t>
        </is>
      </c>
      <c r="E4" s="5" t="inlineStr">
        <is>
          <t>Средний чек, ₽</t>
        </is>
      </c>
      <c r="F4" s="5" t="inlineStr">
        <is>
          <t>CTR
(показ → переход)</t>
        </is>
      </c>
      <c r="G4" s="5" t="inlineStr">
        <is>
          <t>CR
(переход → интерес)</t>
        </is>
      </c>
      <c r="H4" s="5" t="inlineStr">
        <is>
          <t>CR
(интерес → заказ)</t>
        </is>
      </c>
      <c r="I4" s="5" t="inlineStr">
        <is>
          <t>Конверсия
показ → заказ</t>
        </is>
      </c>
      <c r="J4" s="5" t="inlineStr">
        <is>
          <t>Цена перехода
(CPC), ₽</t>
        </is>
      </c>
      <c r="K4" s="5" t="inlineStr">
        <is>
          <t>Цена интереса
(CPL), ₽</t>
        </is>
      </c>
      <c r="L4" s="5" t="inlineStr">
        <is>
          <t>Цена заказа
(CAC), ₽</t>
        </is>
      </c>
      <c r="M4" s="5" t="inlineStr">
        <is>
          <t>ROAS</t>
        </is>
      </c>
      <c r="N4" s="5" t="inlineStr">
        <is>
          <t>ДРР
(расходы / выручка)</t>
        </is>
      </c>
      <c r="O4" s="5" t="inlineStr">
        <is>
          <t>Валовая прибыль, ₽</t>
        </is>
      </c>
      <c r="P4" s="5" t="inlineStr">
        <is>
          <t>ROMI</t>
        </is>
      </c>
      <c r="Q4" s="5" t="inlineStr">
        <is>
          <t>Доля бюджета</t>
        </is>
      </c>
      <c r="R4" s="5" t="inlineStr">
        <is>
          <t>Доля выручки</t>
        </is>
      </c>
      <c r="S4" s="5" t="inlineStr">
        <is>
          <t>Место
по ROAS</t>
        </is>
      </c>
      <c r="T4" s="5" t="inlineStr">
        <is>
          <t>Оценка канала</t>
        </is>
      </c>
    </row>
    <row r="5">
      <c r="A5" s="6">
        <f>Данные!A5</f>
        <v/>
      </c>
      <c r="B5" s="7">
        <f>Данные!B5</f>
        <v/>
      </c>
      <c r="C5" s="7">
        <f>Данные!G5</f>
        <v/>
      </c>
      <c r="D5" s="36">
        <f>Данные!F5</f>
        <v/>
      </c>
      <c r="E5" s="7">
        <f>IF(D5=0,0,C5/D5)</f>
        <v/>
      </c>
      <c r="F5" s="9">
        <f>IF(Данные!C5=0,0,Данные!D5/Данные!C5)</f>
        <v/>
      </c>
      <c r="G5" s="9">
        <f>IF(Данные!D5=0,0,Данные!E5/Данные!D5)</f>
        <v/>
      </c>
      <c r="H5" s="9">
        <f>IF(Данные!E5=0,0,Данные!F5/Данные!E5)</f>
        <v/>
      </c>
      <c r="I5" s="37">
        <f>IF(Данные!C5=0,0,Данные!F5/Данные!C5)</f>
        <v/>
      </c>
      <c r="J5" s="7">
        <f>IF(Данные!D5=0,0,B5/Данные!D5)</f>
        <v/>
      </c>
      <c r="K5" s="7">
        <f>IF(Данные!E5=0,0,B5/Данные!E5)</f>
        <v/>
      </c>
      <c r="L5" s="7">
        <f>IF(D5=0,0,B5/D5)</f>
        <v/>
      </c>
      <c r="M5" s="8">
        <f>IF(B5=0,0,C5/B5)</f>
        <v/>
      </c>
      <c r="N5" s="9">
        <f>IF(C5=0,0,B5/C5)</f>
        <v/>
      </c>
      <c r="O5" s="7">
        <f>C5*Данные!$B$16</f>
        <v/>
      </c>
      <c r="P5" s="9">
        <f>IF(B5=0,0,(O5-B5)/B5)</f>
        <v/>
      </c>
      <c r="Q5" s="9">
        <f>IF($B$12=0,0,B5/$B$12)</f>
        <v/>
      </c>
      <c r="R5" s="9">
        <f>IF($C$12=0,0,C5/$C$12)</f>
        <v/>
      </c>
      <c r="S5" s="38">
        <f>RANK(M5,$M$5:$M$11)</f>
        <v/>
      </c>
      <c r="T5" s="6">
        <f>IF(M5&lt;$B$15,"Убыточен — сократить",IF(M5&gt;=$M$12,"Лидер — наращивать","Ниже среднего — оптимизировать"))</f>
        <v/>
      </c>
    </row>
    <row r="6">
      <c r="A6" s="6">
        <f>Данные!A6</f>
        <v/>
      </c>
      <c r="B6" s="7">
        <f>Данные!B6</f>
        <v/>
      </c>
      <c r="C6" s="7">
        <f>Данные!G6</f>
        <v/>
      </c>
      <c r="D6" s="36">
        <f>Данные!F6</f>
        <v/>
      </c>
      <c r="E6" s="7">
        <f>IF(D6=0,0,C6/D6)</f>
        <v/>
      </c>
      <c r="F6" s="9">
        <f>IF(Данные!C6=0,0,Данные!D6/Данные!C6)</f>
        <v/>
      </c>
      <c r="G6" s="9">
        <f>IF(Данные!D6=0,0,Данные!E6/Данные!D6)</f>
        <v/>
      </c>
      <c r="H6" s="9">
        <f>IF(Данные!E6=0,0,Данные!F6/Данные!E6)</f>
        <v/>
      </c>
      <c r="I6" s="37">
        <f>IF(Данные!C6=0,0,Данные!F6/Данные!C6)</f>
        <v/>
      </c>
      <c r="J6" s="7">
        <f>IF(Данные!D6=0,0,B6/Данные!D6)</f>
        <v/>
      </c>
      <c r="K6" s="7">
        <f>IF(Данные!E6=0,0,B6/Данные!E6)</f>
        <v/>
      </c>
      <c r="L6" s="7">
        <f>IF(D6=0,0,B6/D6)</f>
        <v/>
      </c>
      <c r="M6" s="8">
        <f>IF(B6=0,0,C6/B6)</f>
        <v/>
      </c>
      <c r="N6" s="9">
        <f>IF(C6=0,0,B6/C6)</f>
        <v/>
      </c>
      <c r="O6" s="7">
        <f>C6*Данные!$B$16</f>
        <v/>
      </c>
      <c r="P6" s="9">
        <f>IF(B6=0,0,(O6-B6)/B6)</f>
        <v/>
      </c>
      <c r="Q6" s="9">
        <f>IF($B$12=0,0,B6/$B$12)</f>
        <v/>
      </c>
      <c r="R6" s="9">
        <f>IF($C$12=0,0,C6/$C$12)</f>
        <v/>
      </c>
      <c r="S6" s="38">
        <f>RANK(M6,$M$5:$M$11)</f>
        <v/>
      </c>
      <c r="T6" s="6">
        <f>IF(M6&lt;$B$15,"Убыточен — сократить",IF(M6&gt;=$M$12,"Лидер — наращивать","Ниже среднего — оптимизировать"))</f>
        <v/>
      </c>
    </row>
    <row r="7">
      <c r="A7" s="6">
        <f>Данные!A7</f>
        <v/>
      </c>
      <c r="B7" s="7">
        <f>Данные!B7</f>
        <v/>
      </c>
      <c r="C7" s="7">
        <f>Данные!G7</f>
        <v/>
      </c>
      <c r="D7" s="36">
        <f>Данные!F7</f>
        <v/>
      </c>
      <c r="E7" s="7">
        <f>IF(D7=0,0,C7/D7)</f>
        <v/>
      </c>
      <c r="F7" s="9">
        <f>IF(Данные!C7=0,0,Данные!D7/Данные!C7)</f>
        <v/>
      </c>
      <c r="G7" s="9">
        <f>IF(Данные!D7=0,0,Данные!E7/Данные!D7)</f>
        <v/>
      </c>
      <c r="H7" s="9">
        <f>IF(Данные!E7=0,0,Данные!F7/Данные!E7)</f>
        <v/>
      </c>
      <c r="I7" s="37">
        <f>IF(Данные!C7=0,0,Данные!F7/Данные!C7)</f>
        <v/>
      </c>
      <c r="J7" s="7">
        <f>IF(Данные!D7=0,0,B7/Данные!D7)</f>
        <v/>
      </c>
      <c r="K7" s="7">
        <f>IF(Данные!E7=0,0,B7/Данные!E7)</f>
        <v/>
      </c>
      <c r="L7" s="7">
        <f>IF(D7=0,0,B7/D7)</f>
        <v/>
      </c>
      <c r="M7" s="8">
        <f>IF(B7=0,0,C7/B7)</f>
        <v/>
      </c>
      <c r="N7" s="9">
        <f>IF(C7=0,0,B7/C7)</f>
        <v/>
      </c>
      <c r="O7" s="7">
        <f>C7*Данные!$B$16</f>
        <v/>
      </c>
      <c r="P7" s="9">
        <f>IF(B7=0,0,(O7-B7)/B7)</f>
        <v/>
      </c>
      <c r="Q7" s="9">
        <f>IF($B$12=0,0,B7/$B$12)</f>
        <v/>
      </c>
      <c r="R7" s="9">
        <f>IF($C$12=0,0,C7/$C$12)</f>
        <v/>
      </c>
      <c r="S7" s="38">
        <f>RANK(M7,$M$5:$M$11)</f>
        <v/>
      </c>
      <c r="T7" s="6">
        <f>IF(M7&lt;$B$15,"Убыточен — сократить",IF(M7&gt;=$M$12,"Лидер — наращивать","Ниже среднего — оптимизировать"))</f>
        <v/>
      </c>
    </row>
    <row r="8">
      <c r="A8" s="6">
        <f>Данные!A8</f>
        <v/>
      </c>
      <c r="B8" s="7">
        <f>Данные!B8</f>
        <v/>
      </c>
      <c r="C8" s="7">
        <f>Данные!G8</f>
        <v/>
      </c>
      <c r="D8" s="36">
        <f>Данные!F8</f>
        <v/>
      </c>
      <c r="E8" s="7">
        <f>IF(D8=0,0,C8/D8)</f>
        <v/>
      </c>
      <c r="F8" s="9">
        <f>IF(Данные!C8=0,0,Данные!D8/Данные!C8)</f>
        <v/>
      </c>
      <c r="G8" s="9">
        <f>IF(Данные!D8=0,0,Данные!E8/Данные!D8)</f>
        <v/>
      </c>
      <c r="H8" s="9">
        <f>IF(Данные!E8=0,0,Данные!F8/Данные!E8)</f>
        <v/>
      </c>
      <c r="I8" s="37">
        <f>IF(Данные!C8=0,0,Данные!F8/Данные!C8)</f>
        <v/>
      </c>
      <c r="J8" s="7">
        <f>IF(Данные!D8=0,0,B8/Данные!D8)</f>
        <v/>
      </c>
      <c r="K8" s="7">
        <f>IF(Данные!E8=0,0,B8/Данные!E8)</f>
        <v/>
      </c>
      <c r="L8" s="7">
        <f>IF(D8=0,0,B8/D8)</f>
        <v/>
      </c>
      <c r="M8" s="8">
        <f>IF(B8=0,0,C8/B8)</f>
        <v/>
      </c>
      <c r="N8" s="9">
        <f>IF(C8=0,0,B8/C8)</f>
        <v/>
      </c>
      <c r="O8" s="7">
        <f>C8*Данные!$B$16</f>
        <v/>
      </c>
      <c r="P8" s="9">
        <f>IF(B8=0,0,(O8-B8)/B8)</f>
        <v/>
      </c>
      <c r="Q8" s="9">
        <f>IF($B$12=0,0,B8/$B$12)</f>
        <v/>
      </c>
      <c r="R8" s="9">
        <f>IF($C$12=0,0,C8/$C$12)</f>
        <v/>
      </c>
      <c r="S8" s="38">
        <f>RANK(M8,$M$5:$M$11)</f>
        <v/>
      </c>
      <c r="T8" s="6">
        <f>IF(M8&lt;$B$15,"Убыточен — сократить",IF(M8&gt;=$M$12,"Лидер — наращивать","Ниже среднего — оптимизировать"))</f>
        <v/>
      </c>
    </row>
    <row r="9">
      <c r="A9" s="6">
        <f>Данные!A9</f>
        <v/>
      </c>
      <c r="B9" s="7">
        <f>Данные!B9</f>
        <v/>
      </c>
      <c r="C9" s="7">
        <f>Данные!G9</f>
        <v/>
      </c>
      <c r="D9" s="36">
        <f>Данные!F9</f>
        <v/>
      </c>
      <c r="E9" s="7">
        <f>IF(D9=0,0,C9/D9)</f>
        <v/>
      </c>
      <c r="F9" s="9">
        <f>IF(Данные!C9=0,0,Данные!D9/Данные!C9)</f>
        <v/>
      </c>
      <c r="G9" s="9">
        <f>IF(Данные!D9=0,0,Данные!E9/Данные!D9)</f>
        <v/>
      </c>
      <c r="H9" s="9">
        <f>IF(Данные!E9=0,0,Данные!F9/Данные!E9)</f>
        <v/>
      </c>
      <c r="I9" s="37">
        <f>IF(Данные!C9=0,0,Данные!F9/Данные!C9)</f>
        <v/>
      </c>
      <c r="J9" s="7">
        <f>IF(Данные!D9=0,0,B9/Данные!D9)</f>
        <v/>
      </c>
      <c r="K9" s="7">
        <f>IF(Данные!E9=0,0,B9/Данные!E9)</f>
        <v/>
      </c>
      <c r="L9" s="7">
        <f>IF(D9=0,0,B9/D9)</f>
        <v/>
      </c>
      <c r="M9" s="8">
        <f>IF(B9=0,0,C9/B9)</f>
        <v/>
      </c>
      <c r="N9" s="9">
        <f>IF(C9=0,0,B9/C9)</f>
        <v/>
      </c>
      <c r="O9" s="7">
        <f>C9*Данные!$B$16</f>
        <v/>
      </c>
      <c r="P9" s="9">
        <f>IF(B9=0,0,(O9-B9)/B9)</f>
        <v/>
      </c>
      <c r="Q9" s="9">
        <f>IF($B$12=0,0,B9/$B$12)</f>
        <v/>
      </c>
      <c r="R9" s="9">
        <f>IF($C$12=0,0,C9/$C$12)</f>
        <v/>
      </c>
      <c r="S9" s="38">
        <f>RANK(M9,$M$5:$M$11)</f>
        <v/>
      </c>
      <c r="T9" s="6">
        <f>IF(M9&lt;$B$15,"Убыточен — сократить",IF(M9&gt;=$M$12,"Лидер — наращивать","Ниже среднего — оптимизировать"))</f>
        <v/>
      </c>
    </row>
    <row r="10">
      <c r="A10" s="6">
        <f>Данные!A10</f>
        <v/>
      </c>
      <c r="B10" s="7">
        <f>Данные!B10</f>
        <v/>
      </c>
      <c r="C10" s="7">
        <f>Данные!G10</f>
        <v/>
      </c>
      <c r="D10" s="36">
        <f>Данные!F10</f>
        <v/>
      </c>
      <c r="E10" s="7">
        <f>IF(D10=0,0,C10/D10)</f>
        <v/>
      </c>
      <c r="F10" s="9">
        <f>IF(Данные!C10=0,0,Данные!D10/Данные!C10)</f>
        <v/>
      </c>
      <c r="G10" s="9">
        <f>IF(Данные!D10=0,0,Данные!E10/Данные!D10)</f>
        <v/>
      </c>
      <c r="H10" s="9">
        <f>IF(Данные!E10=0,0,Данные!F10/Данные!E10)</f>
        <v/>
      </c>
      <c r="I10" s="37">
        <f>IF(Данные!C10=0,0,Данные!F10/Данные!C10)</f>
        <v/>
      </c>
      <c r="J10" s="7">
        <f>IF(Данные!D10=0,0,B10/Данные!D10)</f>
        <v/>
      </c>
      <c r="K10" s="7">
        <f>IF(Данные!E10=0,0,B10/Данные!E10)</f>
        <v/>
      </c>
      <c r="L10" s="7">
        <f>IF(D10=0,0,B10/D10)</f>
        <v/>
      </c>
      <c r="M10" s="8">
        <f>IF(B10=0,0,C10/B10)</f>
        <v/>
      </c>
      <c r="N10" s="9">
        <f>IF(C10=0,0,B10/C10)</f>
        <v/>
      </c>
      <c r="O10" s="7">
        <f>C10*Данные!$B$16</f>
        <v/>
      </c>
      <c r="P10" s="9">
        <f>IF(B10=0,0,(O10-B10)/B10)</f>
        <v/>
      </c>
      <c r="Q10" s="9">
        <f>IF($B$12=0,0,B10/$B$12)</f>
        <v/>
      </c>
      <c r="R10" s="9">
        <f>IF($C$12=0,0,C10/$C$12)</f>
        <v/>
      </c>
      <c r="S10" s="38">
        <f>RANK(M10,$M$5:$M$11)</f>
        <v/>
      </c>
      <c r="T10" s="6">
        <f>IF(M10&lt;$B$15,"Убыточен — сократить",IF(M10&gt;=$M$12,"Лидер — наращивать","Ниже среднего — оптимизировать"))</f>
        <v/>
      </c>
    </row>
    <row r="11">
      <c r="A11" s="6">
        <f>Данные!A11</f>
        <v/>
      </c>
      <c r="B11" s="7">
        <f>Данные!B11</f>
        <v/>
      </c>
      <c r="C11" s="7">
        <f>Данные!G11</f>
        <v/>
      </c>
      <c r="D11" s="36">
        <f>Данные!F11</f>
        <v/>
      </c>
      <c r="E11" s="7">
        <f>IF(D11=0,0,C11/D11)</f>
        <v/>
      </c>
      <c r="F11" s="9">
        <f>IF(Данные!C11=0,0,Данные!D11/Данные!C11)</f>
        <v/>
      </c>
      <c r="G11" s="9">
        <f>IF(Данные!D11=0,0,Данные!E11/Данные!D11)</f>
        <v/>
      </c>
      <c r="H11" s="9">
        <f>IF(Данные!E11=0,0,Данные!F11/Данные!E11)</f>
        <v/>
      </c>
      <c r="I11" s="37">
        <f>IF(Данные!C11=0,0,Данные!F11/Данные!C11)</f>
        <v/>
      </c>
      <c r="J11" s="7">
        <f>IF(Данные!D11=0,0,B11/Данные!D11)</f>
        <v/>
      </c>
      <c r="K11" s="7">
        <f>IF(Данные!E11=0,0,B11/Данные!E11)</f>
        <v/>
      </c>
      <c r="L11" s="7">
        <f>IF(D11=0,0,B11/D11)</f>
        <v/>
      </c>
      <c r="M11" s="8">
        <f>IF(B11=0,0,C11/B11)</f>
        <v/>
      </c>
      <c r="N11" s="9">
        <f>IF(C11=0,0,B11/C11)</f>
        <v/>
      </c>
      <c r="O11" s="7">
        <f>C11*Данные!$B$16</f>
        <v/>
      </c>
      <c r="P11" s="9">
        <f>IF(B11=0,0,(O11-B11)/B11)</f>
        <v/>
      </c>
      <c r="Q11" s="9">
        <f>IF($B$12=0,0,B11/$B$12)</f>
        <v/>
      </c>
      <c r="R11" s="9">
        <f>IF($C$12=0,0,C11/$C$12)</f>
        <v/>
      </c>
      <c r="S11" s="38">
        <f>RANK(M11,$M$5:$M$11)</f>
        <v/>
      </c>
      <c r="T11" s="6">
        <f>IF(M11&lt;$B$15,"Убыточен — сократить",IF(M11&gt;=$M$12,"Лидер — наращивать","Ниже среднего — оптимизировать"))</f>
        <v/>
      </c>
    </row>
    <row r="12">
      <c r="A12" s="15" t="inlineStr">
        <is>
          <t>ИТОГО / среднее по компании</t>
        </is>
      </c>
      <c r="B12" s="16">
        <f>Данные!B12</f>
        <v/>
      </c>
      <c r="C12" s="16">
        <f>Данные!G12</f>
        <v/>
      </c>
      <c r="D12" s="30">
        <f>Данные!F12</f>
        <v/>
      </c>
      <c r="E12" s="16">
        <f>IF(D12=0,0,C12/D12)</f>
        <v/>
      </c>
      <c r="F12" s="18">
        <f>IF(Данные!C12=0,0,Данные!D12/Данные!C12)</f>
        <v/>
      </c>
      <c r="G12" s="18">
        <f>IF(Данные!D12=0,0,Данные!E12/Данные!D12)</f>
        <v/>
      </c>
      <c r="H12" s="18">
        <f>IF(Данные!E12=0,0,Данные!F12/Данные!E12)</f>
        <v/>
      </c>
      <c r="I12" s="39">
        <f>IF(Данные!C12=0,0,Данные!F12/Данные!C12)</f>
        <v/>
      </c>
      <c r="J12" s="16">
        <f>IF(Данные!D12=0,0,B12/Данные!D12)</f>
        <v/>
      </c>
      <c r="K12" s="16">
        <f>IF(Данные!E12=0,0,B12/Данные!E12)</f>
        <v/>
      </c>
      <c r="L12" s="16">
        <f>IF(D12=0,0,B12/D12)</f>
        <v/>
      </c>
      <c r="M12" s="17">
        <f>IF(B12=0,0,C12/B12)</f>
        <v/>
      </c>
      <c r="N12" s="18">
        <f>IF(C12=0,0,B12/C12)</f>
        <v/>
      </c>
      <c r="O12" s="16">
        <f>C12*Данные!$B$16</f>
        <v/>
      </c>
      <c r="P12" s="18">
        <f>IF(B12=0,0,(O12-B12)/B12)</f>
        <v/>
      </c>
      <c r="Q12" s="18">
        <f>IF($B$12=0,0,B12/$B$12)</f>
        <v/>
      </c>
      <c r="R12" s="18">
        <f>IF($C$12=0,0,C12/$C$12)</f>
        <v/>
      </c>
      <c r="S12" s="40" t="n"/>
      <c r="T12" s="15" t="n"/>
    </row>
    <row r="14">
      <c r="A14" s="22" t="inlineStr">
        <is>
          <t>ОРИЕНТИРЫ</t>
        </is>
      </c>
    </row>
    <row r="15">
      <c r="A15" t="inlineStr">
        <is>
          <t>ROAS безубыточности (1 / маржа)</t>
        </is>
      </c>
      <c r="B15" s="41">
        <f>1/Данные!$B$16</f>
        <v/>
      </c>
      <c r="C15" s="2" t="inlineStr">
        <is>
          <t>ниже — канал не окупает рекламу даже валовой прибылью</t>
        </is>
      </c>
    </row>
    <row r="16">
      <c r="A16" t="inlineStr">
        <is>
          <t>Средний ROAS компании</t>
        </is>
      </c>
      <c r="B16" s="41">
        <f>M12</f>
        <v/>
      </c>
      <c r="C16" s="2" t="inlineStr">
        <is>
          <t>выше — канал работает лучше среднего, в него выгоднее доливать</t>
        </is>
      </c>
    </row>
  </sheetData>
  <conditionalFormatting sqref="M5:M11">
    <cfRule type="cellIs" priority="1" operator="lessThan" dxfId="1">
      <formula>$B$15</formula>
    </cfRule>
    <cfRule type="cellIs" priority="2" operator="greaterThanOrEqual" dxfId="0">
      <formula>$M$12</formula>
    </cfRule>
    <cfRule type="cellIs" priority="3" operator="between" dxfId="2">
      <formula>$B$15</formula>
      <formula>$M$12</formula>
    </cfRule>
  </conditionalFormatting>
  <conditionalFormatting sqref="P5:P11">
    <cfRule type="cellIs" priority="4" operator="lessThan" dxfId="1">
      <formula>0</formula>
    </cfRule>
  </conditionalFormatting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13" customWidth="1" min="5" max="5"/>
    <col width="14" customWidth="1" min="6" max="6"/>
    <col width="16" customWidth="1" min="7" max="7"/>
    <col width="15" customWidth="1" min="8" max="8"/>
    <col width="13" customWidth="1" min="9" max="9"/>
    <col width="26" customWidth="1" min="10" max="10"/>
  </cols>
  <sheetData>
    <row r="1">
      <c r="A1" s="1" t="inlineStr">
        <is>
          <t>Воронка продаж</t>
        </is>
      </c>
    </row>
    <row r="2">
      <c r="A2" s="2" t="inlineStr">
        <is>
          <t>Общая воронка компании и воронка по каждому каналу. Конверсия шага = этап / предыдущий этап.</t>
        </is>
      </c>
    </row>
    <row r="4" ht="42" customHeight="1">
      <c r="A4" s="5" t="inlineStr">
        <is>
          <t>Этап воронки</t>
        </is>
      </c>
      <c r="B4" s="5" t="inlineStr">
        <is>
          <t>Люди</t>
        </is>
      </c>
      <c r="C4" s="5" t="inlineStr">
        <is>
          <t>Конверсия шага</t>
        </is>
      </c>
      <c r="D4" s="5" t="inlineStr">
        <is>
          <t>Конверсия от охвата</t>
        </is>
      </c>
      <c r="G4" s="42" t="inlineStr">
        <is>
          <t>Этап</t>
        </is>
      </c>
      <c r="H4" s="42" t="inlineStr">
        <is>
          <t>отступ</t>
        </is>
      </c>
      <c r="I4" s="42" t="inlineStr">
        <is>
          <t>Люди</t>
        </is>
      </c>
    </row>
    <row r="5">
      <c r="A5" s="6" t="inlineStr">
        <is>
          <t>Показы / охват</t>
        </is>
      </c>
      <c r="B5" s="36">
        <f>Данные!C12</f>
        <v/>
      </c>
      <c r="C5" s="43" t="inlineStr">
        <is>
          <t>—</t>
        </is>
      </c>
      <c r="D5" s="37">
        <f>IF($B$5=0,0,B5/$B$5)</f>
        <v/>
      </c>
      <c r="G5" s="42" t="inlineStr">
        <is>
          <t>Переходы</t>
        </is>
      </c>
      <c r="H5" s="42">
        <f>($B$6-B6)/2</f>
        <v/>
      </c>
      <c r="I5" s="44">
        <f>B6</f>
        <v/>
      </c>
    </row>
    <row r="6">
      <c r="A6" s="6" t="inlineStr">
        <is>
          <t>Переходы</t>
        </is>
      </c>
      <c r="B6" s="36">
        <f>Данные!D12</f>
        <v/>
      </c>
      <c r="C6" s="43">
        <f>IF(B5=0,0,B6/B5)</f>
        <v/>
      </c>
      <c r="D6" s="37">
        <f>IF($B$5=0,0,B6/$B$5)</f>
        <v/>
      </c>
      <c r="G6" s="42" t="inlineStr">
        <is>
          <t>Интерес (корзина / заявка)</t>
        </is>
      </c>
      <c r="H6" s="42">
        <f>($B$6-B7)/2</f>
        <v/>
      </c>
      <c r="I6" s="44">
        <f>B7</f>
        <v/>
      </c>
    </row>
    <row r="7">
      <c r="A7" s="6" t="inlineStr">
        <is>
          <t>Интерес (корзина / заявка)</t>
        </is>
      </c>
      <c r="B7" s="36">
        <f>Данные!E12</f>
        <v/>
      </c>
      <c r="C7" s="43">
        <f>IF(B6=0,0,B7/B6)</f>
        <v/>
      </c>
      <c r="D7" s="37">
        <f>IF($B$5=0,0,B7/$B$5)</f>
        <v/>
      </c>
      <c r="G7" s="42" t="inlineStr">
        <is>
          <t>Заказы</t>
        </is>
      </c>
      <c r="H7" s="42">
        <f>($B$6-B8)/2</f>
        <v/>
      </c>
      <c r="I7" s="44">
        <f>B8</f>
        <v/>
      </c>
    </row>
    <row r="8">
      <c r="A8" s="6" t="inlineStr">
        <is>
          <t>Заказы</t>
        </is>
      </c>
      <c r="B8" s="36">
        <f>Данные!F12</f>
        <v/>
      </c>
      <c r="C8" s="43">
        <f>IF(B7=0,0,B8/B7)</f>
        <v/>
      </c>
      <c r="D8" s="37">
        <f>IF($B$5=0,0,B8/$B$5)</f>
        <v/>
      </c>
    </row>
    <row r="12">
      <c r="A12" s="22" t="inlineStr">
        <is>
          <t>ВОРОНКА ПО КАНАЛАМ</t>
        </is>
      </c>
    </row>
    <row r="13" ht="40" customHeight="1">
      <c r="A13" s="5" t="inlineStr">
        <is>
          <t>Канал продаж</t>
        </is>
      </c>
      <c r="B13" s="5" t="inlineStr">
        <is>
          <t>Показы / охват</t>
        </is>
      </c>
      <c r="C13" s="5" t="inlineStr">
        <is>
          <t>Переходы</t>
        </is>
      </c>
      <c r="D13" s="5" t="inlineStr">
        <is>
          <t>Интерес</t>
        </is>
      </c>
      <c r="E13" s="5" t="inlineStr">
        <is>
          <t>Заказы</t>
        </is>
      </c>
      <c r="F13" s="5" t="inlineStr">
        <is>
          <t>Показ → переход</t>
        </is>
      </c>
      <c r="G13" s="5" t="inlineStr">
        <is>
          <t>Переход → интерес</t>
        </is>
      </c>
      <c r="H13" s="5" t="inlineStr">
        <is>
          <t>Интерес → заказ</t>
        </is>
      </c>
      <c r="I13" s="5" t="inlineStr">
        <is>
          <t>Показ → заказ</t>
        </is>
      </c>
      <c r="J13" s="5" t="inlineStr">
        <is>
          <t>Узкое место</t>
        </is>
      </c>
    </row>
    <row r="14">
      <c r="A14" s="6">
        <f>Данные!A5</f>
        <v/>
      </c>
      <c r="B14" s="36">
        <f>Данные!C5</f>
        <v/>
      </c>
      <c r="C14" s="36">
        <f>Данные!D5</f>
        <v/>
      </c>
      <c r="D14" s="36">
        <f>Данные!E5</f>
        <v/>
      </c>
      <c r="E14" s="36">
        <f>Данные!F5</f>
        <v/>
      </c>
      <c r="F14" s="9">
        <f>IF(B14=0,0,C14/B14)</f>
        <v/>
      </c>
      <c r="G14" s="9">
        <f>IF(C14=0,0,D14/C14)</f>
        <v/>
      </c>
      <c r="H14" s="9">
        <f>IF(D14=0,0,E14/D14)</f>
        <v/>
      </c>
      <c r="I14" s="37">
        <f>IF(B14=0,0,E14/B14)</f>
        <v/>
      </c>
      <c r="J14" s="6">
        <f>IF(F14/F$21&lt;=MIN(G14/G$21,H14/H$21),"клик: показ → переход",IF(G14/G$21&lt;=H14/H$21,"корзина: переход → интерес","оплата: интерес → заказ"))</f>
        <v/>
      </c>
    </row>
    <row r="15">
      <c r="A15" s="6">
        <f>Данные!A6</f>
        <v/>
      </c>
      <c r="B15" s="36">
        <f>Данные!C6</f>
        <v/>
      </c>
      <c r="C15" s="36">
        <f>Данные!D6</f>
        <v/>
      </c>
      <c r="D15" s="36">
        <f>Данные!E6</f>
        <v/>
      </c>
      <c r="E15" s="36">
        <f>Данные!F6</f>
        <v/>
      </c>
      <c r="F15" s="9">
        <f>IF(B15=0,0,C15/B15)</f>
        <v/>
      </c>
      <c r="G15" s="9">
        <f>IF(C15=0,0,D15/C15)</f>
        <v/>
      </c>
      <c r="H15" s="9">
        <f>IF(D15=0,0,E15/D15)</f>
        <v/>
      </c>
      <c r="I15" s="37">
        <f>IF(B15=0,0,E15/B15)</f>
        <v/>
      </c>
      <c r="J15" s="6">
        <f>IF(F15/F$21&lt;=MIN(G15/G$21,H15/H$21),"клик: показ → переход",IF(G15/G$21&lt;=H15/H$21,"корзина: переход → интерес","оплата: интерес → заказ"))</f>
        <v/>
      </c>
    </row>
    <row r="16">
      <c r="A16" s="6">
        <f>Данные!A7</f>
        <v/>
      </c>
      <c r="B16" s="36">
        <f>Данные!C7</f>
        <v/>
      </c>
      <c r="C16" s="36">
        <f>Данные!D7</f>
        <v/>
      </c>
      <c r="D16" s="36">
        <f>Данные!E7</f>
        <v/>
      </c>
      <c r="E16" s="36">
        <f>Данные!F7</f>
        <v/>
      </c>
      <c r="F16" s="9">
        <f>IF(B16=0,0,C16/B16)</f>
        <v/>
      </c>
      <c r="G16" s="9">
        <f>IF(C16=0,0,D16/C16)</f>
        <v/>
      </c>
      <c r="H16" s="9">
        <f>IF(D16=0,0,E16/D16)</f>
        <v/>
      </c>
      <c r="I16" s="37">
        <f>IF(B16=0,0,E16/B16)</f>
        <v/>
      </c>
      <c r="J16" s="6">
        <f>IF(F16/F$21&lt;=MIN(G16/G$21,H16/H$21),"клик: показ → переход",IF(G16/G$21&lt;=H16/H$21,"корзина: переход → интерес","оплата: интерес → заказ"))</f>
        <v/>
      </c>
    </row>
    <row r="17">
      <c r="A17" s="6">
        <f>Данные!A8</f>
        <v/>
      </c>
      <c r="B17" s="36">
        <f>Данные!C8</f>
        <v/>
      </c>
      <c r="C17" s="36">
        <f>Данные!D8</f>
        <v/>
      </c>
      <c r="D17" s="36">
        <f>Данные!E8</f>
        <v/>
      </c>
      <c r="E17" s="36">
        <f>Данные!F8</f>
        <v/>
      </c>
      <c r="F17" s="9">
        <f>IF(B17=0,0,C17/B17)</f>
        <v/>
      </c>
      <c r="G17" s="9">
        <f>IF(C17=0,0,D17/C17)</f>
        <v/>
      </c>
      <c r="H17" s="9">
        <f>IF(D17=0,0,E17/D17)</f>
        <v/>
      </c>
      <c r="I17" s="37">
        <f>IF(B17=0,0,E17/B17)</f>
        <v/>
      </c>
      <c r="J17" s="6">
        <f>IF(F17/F$21&lt;=MIN(G17/G$21,H17/H$21),"клик: показ → переход",IF(G17/G$21&lt;=H17/H$21,"корзина: переход → интерес","оплата: интерес → заказ"))</f>
        <v/>
      </c>
    </row>
    <row r="18">
      <c r="A18" s="6">
        <f>Данные!A9</f>
        <v/>
      </c>
      <c r="B18" s="36">
        <f>Данные!C9</f>
        <v/>
      </c>
      <c r="C18" s="36">
        <f>Данные!D9</f>
        <v/>
      </c>
      <c r="D18" s="36">
        <f>Данные!E9</f>
        <v/>
      </c>
      <c r="E18" s="36">
        <f>Данные!F9</f>
        <v/>
      </c>
      <c r="F18" s="9">
        <f>IF(B18=0,0,C18/B18)</f>
        <v/>
      </c>
      <c r="G18" s="9">
        <f>IF(C18=0,0,D18/C18)</f>
        <v/>
      </c>
      <c r="H18" s="9">
        <f>IF(D18=0,0,E18/D18)</f>
        <v/>
      </c>
      <c r="I18" s="37">
        <f>IF(B18=0,0,E18/B18)</f>
        <v/>
      </c>
      <c r="J18" s="6">
        <f>IF(F18/F$21&lt;=MIN(G18/G$21,H18/H$21),"клик: показ → переход",IF(G18/G$21&lt;=H18/H$21,"корзина: переход → интерес","оплата: интерес → заказ"))</f>
        <v/>
      </c>
    </row>
    <row r="19">
      <c r="A19" s="6">
        <f>Данные!A10</f>
        <v/>
      </c>
      <c r="B19" s="36">
        <f>Данные!C10</f>
        <v/>
      </c>
      <c r="C19" s="36">
        <f>Данные!D10</f>
        <v/>
      </c>
      <c r="D19" s="36">
        <f>Данные!E10</f>
        <v/>
      </c>
      <c r="E19" s="36">
        <f>Данные!F10</f>
        <v/>
      </c>
      <c r="F19" s="9">
        <f>IF(B19=0,0,C19/B19)</f>
        <v/>
      </c>
      <c r="G19" s="9">
        <f>IF(C19=0,0,D19/C19)</f>
        <v/>
      </c>
      <c r="H19" s="9">
        <f>IF(D19=0,0,E19/D19)</f>
        <v/>
      </c>
      <c r="I19" s="37">
        <f>IF(B19=0,0,E19/B19)</f>
        <v/>
      </c>
      <c r="J19" s="6">
        <f>IF(F19/F$21&lt;=MIN(G19/G$21,H19/H$21),"клик: показ → переход",IF(G19/G$21&lt;=H19/H$21,"корзина: переход → интерес","оплата: интерес → заказ"))</f>
        <v/>
      </c>
    </row>
    <row r="20">
      <c r="A20" s="6">
        <f>Данные!A11</f>
        <v/>
      </c>
      <c r="B20" s="36">
        <f>Данные!C11</f>
        <v/>
      </c>
      <c r="C20" s="36">
        <f>Данные!D11</f>
        <v/>
      </c>
      <c r="D20" s="36">
        <f>Данные!E11</f>
        <v/>
      </c>
      <c r="E20" s="36">
        <f>Данные!F11</f>
        <v/>
      </c>
      <c r="F20" s="9">
        <f>IF(B20=0,0,C20/B20)</f>
        <v/>
      </c>
      <c r="G20" s="9">
        <f>IF(C20=0,0,D20/C20)</f>
        <v/>
      </c>
      <c r="H20" s="9">
        <f>IF(D20=0,0,E20/D20)</f>
        <v/>
      </c>
      <c r="I20" s="37">
        <f>IF(B20=0,0,E20/B20)</f>
        <v/>
      </c>
      <c r="J20" s="6">
        <f>IF(F20/F$21&lt;=MIN(G20/G$21,H20/H$21),"клик: показ → переход",IF(G20/G$21&lt;=H20/H$21,"корзина: переход → интерес","оплата: интерес → заказ"))</f>
        <v/>
      </c>
    </row>
    <row r="21">
      <c r="A21" s="15" t="inlineStr">
        <is>
          <t>ИТОГО</t>
        </is>
      </c>
      <c r="B21" s="30">
        <f>Данные!C12</f>
        <v/>
      </c>
      <c r="C21" s="30">
        <f>Данные!D12</f>
        <v/>
      </c>
      <c r="D21" s="30">
        <f>Данные!E12</f>
        <v/>
      </c>
      <c r="E21" s="30">
        <f>Данные!F12</f>
        <v/>
      </c>
      <c r="F21" s="18">
        <f>IF(B21=0,0,C21/B21)</f>
        <v/>
      </c>
      <c r="G21" s="18">
        <f>IF(C21=0,0,D21/C21)</f>
        <v/>
      </c>
      <c r="H21" s="18">
        <f>IF(D21=0,0,E21/D21)</f>
        <v/>
      </c>
      <c r="I21" s="39">
        <f>IF(B21=0,0,E21/B21)</f>
        <v/>
      </c>
      <c r="J21" s="15" t="n"/>
    </row>
  </sheetData>
  <pageMargins left="0.4" right="0.4" top="0.5" bottom="0.5" header="0.5" footer="0.5"/>
  <pageSetup orientation="landscape" paperSize="9" fitToHeight="0" fitToWidth="1"/>
  <headerFooter>
    <oddHeader/>
    <oddFooter>&amp;C&amp;8 Кейс 2. Каналы продаж — &amp;A — стр. &amp;P из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2026-09-17T12:48:14Z</dcterms:created>
  <dcterms:modified xsi:type="dcterms:W3CDTF">2026-09-17T12:48:14Z</dcterms:modified>
</cp:coreProperties>
</file>