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о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\ &quot;р.&quot;"/>
    <numFmt numFmtId="165" formatCode="#,##0.00\ &quot;р.&quot;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3" fontId="0" fillId="3" borderId="1" pivotButton="0" quotePrefix="0" xfId="0"/>
    <xf numFmtId="3" fontId="2" fillId="0" borderId="1" pivotButton="0" quotePrefix="0" xfId="0"/>
    <xf numFmtId="164" fontId="0" fillId="3" borderId="1" pivotButton="0" quotePrefix="0" xfId="0"/>
    <xf numFmtId="164" fontId="2" fillId="0" borderId="1" pivotButton="0" quotePrefix="0" xfId="0"/>
    <xf numFmtId="165" fontId="0" fillId="4" borderId="1" pivotButton="0" quotePrefix="0" xfId="0"/>
    <xf numFmtId="165" fontId="2" fillId="4" borderId="1" pivotButton="0" quotePrefix="0" xfId="0"/>
    <xf numFmtId="164" fontId="0" fillId="4" borderId="1" pivotButton="0" quotePrefix="0" xfId="0"/>
    <xf numFmtId="164" fontId="2" fillId="4" borderId="1" pivotButton="0" quotePrefix="0" xfId="0"/>
    <xf numFmtId="2" fontId="0" fillId="4" borderId="1" pivotButton="0" quotePrefix="0" xfId="0"/>
    <xf numFmtId="2" fontId="2" fillId="4" borderId="1" pivotButton="0" quotePrefix="0" xfId="0"/>
    <xf numFmtId="10" fontId="0" fillId="4" borderId="1" pivotButton="0" quotePrefix="0" xfId="0"/>
    <xf numFmtId="10" fontId="2" fillId="4" borderId="1" pivotButton="0" quotePrefix="0" xfId="0"/>
    <xf numFmtId="0" fontId="3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АНАЛИЗ КАНАЛОВ ПРОДАЖ</t>
        </is>
      </c>
    </row>
    <row r="3">
      <c r="B3" s="2" t="inlineStr">
        <is>
          <t>Каналы продаж</t>
        </is>
      </c>
    </row>
    <row r="4">
      <c r="A4" s="3" t="inlineStr">
        <is>
          <t>Данные</t>
        </is>
      </c>
      <c r="B4" s="3" t="inlineStr">
        <is>
          <t>сайт</t>
        </is>
      </c>
      <c r="C4" s="3" t="inlineStr">
        <is>
          <t>директ</t>
        </is>
      </c>
      <c r="D4" s="3" t="inlineStr">
        <is>
          <t>LaModa</t>
        </is>
      </c>
      <c r="E4" s="3" t="inlineStr">
        <is>
          <t>Блогеры</t>
        </is>
      </c>
      <c r="F4" s="3" t="inlineStr">
        <is>
          <t>ВК Канал (Таргет ВК)</t>
        </is>
      </c>
      <c r="G4" s="3" t="inlineStr">
        <is>
          <t>ИТОГО</t>
        </is>
      </c>
    </row>
    <row r="5">
      <c r="A5" s="4" t="inlineStr">
        <is>
          <t>кол-во показов</t>
        </is>
      </c>
      <c r="B5" s="5" t="n">
        <v>26000</v>
      </c>
      <c r="C5" s="5" t="n">
        <v>120000</v>
      </c>
      <c r="D5" s="5" t="n">
        <v>6000</v>
      </c>
      <c r="E5" s="5" t="n">
        <v>80000</v>
      </c>
      <c r="F5" s="5" t="n">
        <v>100000</v>
      </c>
      <c r="G5" s="6">
        <f>SUM(B5:F5)</f>
        <v/>
      </c>
    </row>
    <row r="6">
      <c r="A6" s="4" t="inlineStr">
        <is>
          <t>кол-во переходов</t>
        </is>
      </c>
      <c r="B6" s="5" t="n">
        <v>260</v>
      </c>
      <c r="C6" s="5" t="n">
        <v>1200</v>
      </c>
      <c r="D6" s="5" t="n">
        <v>1800</v>
      </c>
      <c r="E6" s="5" t="n">
        <v>1600</v>
      </c>
      <c r="F6" s="5" t="n">
        <v>700</v>
      </c>
      <c r="G6" s="6">
        <f>SUM(B6:F6)</f>
        <v/>
      </c>
    </row>
    <row r="7">
      <c r="A7" s="4" t="inlineStr">
        <is>
          <t>кол-во кликов (добавлений в корзину)</t>
        </is>
      </c>
      <c r="B7" s="5" t="n">
        <v>52</v>
      </c>
      <c r="C7" s="5" t="n">
        <v>96</v>
      </c>
      <c r="D7" s="5" t="n">
        <v>180</v>
      </c>
      <c r="E7" s="5" t="n">
        <v>160</v>
      </c>
      <c r="F7" s="5" t="n">
        <v>20</v>
      </c>
      <c r="G7" s="6">
        <f>SUM(B7:F7)</f>
        <v/>
      </c>
    </row>
    <row r="8">
      <c r="A8" s="4" t="inlineStr">
        <is>
          <t>кол-во продаж</t>
        </is>
      </c>
      <c r="B8" s="5" t="n">
        <v>13</v>
      </c>
      <c r="C8" s="5" t="n">
        <v>12</v>
      </c>
      <c r="D8" s="5" t="n">
        <v>30</v>
      </c>
      <c r="E8" s="5" t="n">
        <v>20</v>
      </c>
      <c r="F8" s="5" t="n">
        <v>7</v>
      </c>
      <c r="G8" s="6">
        <f>SUM(B8:F8)</f>
        <v/>
      </c>
    </row>
    <row r="9">
      <c r="A9" s="4" t="inlineStr">
        <is>
          <t>прибыль с продаж</t>
        </is>
      </c>
      <c r="B9" s="7" t="n">
        <v>28223</v>
      </c>
      <c r="C9" s="7" t="n">
        <v>26052</v>
      </c>
      <c r="D9" s="7" t="n">
        <v>36060</v>
      </c>
      <c r="E9" s="7" t="n">
        <v>36780</v>
      </c>
      <c r="F9" s="7" t="n">
        <v>12342</v>
      </c>
      <c r="G9" s="8">
        <f>SUM(B9:F9)</f>
        <v/>
      </c>
    </row>
    <row r="10">
      <c r="A10" s="4" t="inlineStr">
        <is>
          <t>затрачено</t>
        </is>
      </c>
      <c r="B10" s="7" t="n">
        <v>5000</v>
      </c>
      <c r="C10" s="7" t="n">
        <v>12000</v>
      </c>
      <c r="D10" s="7" t="n">
        <v>12000</v>
      </c>
      <c r="E10" s="7" t="n">
        <v>15000</v>
      </c>
      <c r="F10" s="7" t="n">
        <v>10000</v>
      </c>
      <c r="G10" s="8">
        <f>SUM(B10:F10)</f>
        <v/>
      </c>
    </row>
    <row r="11">
      <c r="A11" s="4" t="inlineStr">
        <is>
          <t>цена перехода</t>
        </is>
      </c>
      <c r="B11" s="9">
        <f>B10/B6</f>
        <v/>
      </c>
      <c r="C11" s="9">
        <f>C10/C6</f>
        <v/>
      </c>
      <c r="D11" s="9">
        <f>D10/D6</f>
        <v/>
      </c>
      <c r="E11" s="9">
        <f>E10/E6</f>
        <v/>
      </c>
      <c r="F11" s="9">
        <f>F10/F6</f>
        <v/>
      </c>
      <c r="G11" s="10">
        <f>G10/G6</f>
        <v/>
      </c>
    </row>
    <row r="12">
      <c r="A12" s="4" t="inlineStr">
        <is>
          <t>цена клиента</t>
        </is>
      </c>
      <c r="B12" s="11">
        <f>B10/B8</f>
        <v/>
      </c>
      <c r="C12" s="11">
        <f>C10/C8</f>
        <v/>
      </c>
      <c r="D12" s="11">
        <f>D10/D8</f>
        <v/>
      </c>
      <c r="E12" s="11">
        <f>E10/E8</f>
        <v/>
      </c>
      <c r="F12" s="11">
        <f>F10/F8</f>
        <v/>
      </c>
      <c r="G12" s="12">
        <f>G10/G8</f>
        <v/>
      </c>
    </row>
    <row r="13">
      <c r="A13" s="4" t="inlineStr">
        <is>
          <t>Деньги в кассе</t>
        </is>
      </c>
      <c r="B13" s="11">
        <f>B9-B10</f>
        <v/>
      </c>
      <c r="C13" s="11">
        <f>C9-C10</f>
        <v/>
      </c>
      <c r="D13" s="11">
        <f>D9-D10</f>
        <v/>
      </c>
      <c r="E13" s="11">
        <f>E9-E10</f>
        <v/>
      </c>
      <c r="F13" s="11">
        <f>F9-F10</f>
        <v/>
      </c>
      <c r="G13" s="12">
        <f>G9-G10</f>
        <v/>
      </c>
    </row>
    <row r="14">
      <c r="A14" s="4" t="inlineStr">
        <is>
          <t>ROAS на 1 рубль</t>
        </is>
      </c>
      <c r="B14" s="13">
        <f>B9/B10</f>
        <v/>
      </c>
      <c r="C14" s="13">
        <f>C9/C10</f>
        <v/>
      </c>
      <c r="D14" s="13">
        <f>D9/D10</f>
        <v/>
      </c>
      <c r="E14" s="13">
        <f>E9/E10</f>
        <v/>
      </c>
      <c r="F14" s="13">
        <f>F9/F10</f>
        <v/>
      </c>
      <c r="G14" s="14">
        <f>G9/G10</f>
        <v/>
      </c>
    </row>
    <row r="15">
      <c r="A15" s="4" t="inlineStr">
        <is>
          <t>показы - переходы</t>
        </is>
      </c>
      <c r="B15" s="15">
        <f>B6/B5</f>
        <v/>
      </c>
      <c r="C15" s="15">
        <f>C6/C5</f>
        <v/>
      </c>
      <c r="D15" s="15">
        <f>D6/D5</f>
        <v/>
      </c>
      <c r="E15" s="15">
        <f>E6/E5</f>
        <v/>
      </c>
      <c r="F15" s="15">
        <f>F6/F5</f>
        <v/>
      </c>
      <c r="G15" s="16">
        <f>G6/G5</f>
        <v/>
      </c>
    </row>
    <row r="16">
      <c r="A16" s="4" t="inlineStr">
        <is>
          <t>переходы - клики</t>
        </is>
      </c>
      <c r="B16" s="15">
        <f>B7/B6</f>
        <v/>
      </c>
      <c r="C16" s="15">
        <f>C7/C6</f>
        <v/>
      </c>
      <c r="D16" s="15">
        <f>D7/D6</f>
        <v/>
      </c>
      <c r="E16" s="15">
        <f>E7/E6</f>
        <v/>
      </c>
      <c r="F16" s="15">
        <f>F7/F6</f>
        <v/>
      </c>
      <c r="G16" s="16">
        <f>G7/G6</f>
        <v/>
      </c>
    </row>
    <row r="17">
      <c r="A17" s="4" t="inlineStr">
        <is>
          <t>клики - продажи</t>
        </is>
      </c>
      <c r="B17" s="15">
        <f>B8/B7</f>
        <v/>
      </c>
      <c r="C17" s="15">
        <f>C8/C7</f>
        <v/>
      </c>
      <c r="D17" s="15">
        <f>D8/D7</f>
        <v/>
      </c>
      <c r="E17" s="15">
        <f>E8/E7</f>
        <v/>
      </c>
      <c r="F17" s="15">
        <f>F8/F7</f>
        <v/>
      </c>
      <c r="G17" s="16">
        <f>G8/G7</f>
        <v/>
      </c>
    </row>
    <row r="18">
      <c r="A18" s="4" t="inlineStr">
        <is>
          <t>переходы - продажи</t>
        </is>
      </c>
      <c r="B18" s="15">
        <f>B8/B6</f>
        <v/>
      </c>
      <c r="C18" s="15">
        <f>C8/C6</f>
        <v/>
      </c>
      <c r="D18" s="15">
        <f>D8/D6</f>
        <v/>
      </c>
      <c r="E18" s="15">
        <f>E8/E6</f>
        <v/>
      </c>
      <c r="F18" s="15">
        <f>F8/F6</f>
        <v/>
      </c>
      <c r="G18" s="16">
        <f>G8/G6</f>
        <v/>
      </c>
    </row>
    <row r="20">
      <c r="A20" s="17" t="inlineStr">
        <is>
          <t>СПРАВОЧНО — как получена «прибыль с продаж» (маржинальная прибыль)</t>
        </is>
      </c>
    </row>
    <row r="21">
      <c r="A21" t="inlineStr">
        <is>
          <t>Цена продажи, ₽</t>
        </is>
      </c>
      <c r="B21" s="18" t="n">
        <v>3390</v>
      </c>
      <c r="C21" s="18" t="n">
        <v>3390</v>
      </c>
      <c r="D21" s="18" t="n">
        <v>3390</v>
      </c>
      <c r="E21" s="18" t="n">
        <v>3051</v>
      </c>
      <c r="F21" s="18" t="n">
        <v>3390</v>
      </c>
    </row>
    <row r="22">
      <c r="A22" t="inlineStr">
        <is>
          <t>Себестоимость юнита, ₽ (футболка 780 + принт 46 + упаковка 25)</t>
        </is>
      </c>
      <c r="B22" s="18" t="n">
        <v>851</v>
      </c>
      <c r="C22" s="18" t="n">
        <v>851</v>
      </c>
      <c r="D22" s="18" t="n">
        <v>851</v>
      </c>
      <c r="E22" s="18" t="n">
        <v>851</v>
      </c>
      <c r="F22" s="18" t="n">
        <v>851</v>
      </c>
    </row>
    <row r="23">
      <c r="A23" t="inlineStr">
        <is>
          <t>Комиссия площадки + логистика + эквайринг на 1 заказ, ₽</t>
        </is>
      </c>
      <c r="B23" s="18" t="n">
        <v>368</v>
      </c>
      <c r="C23" s="18" t="n">
        <v>368</v>
      </c>
      <c r="D23" s="18" t="n">
        <v>1337</v>
      </c>
      <c r="E23" s="18" t="n">
        <v>361</v>
      </c>
      <c r="F23" s="18" t="n">
        <v>776</v>
      </c>
    </row>
    <row r="24">
      <c r="A24" t="inlineStr">
        <is>
          <t>Маржа с 1 заказа, ₽ (= прибыль / продажи)</t>
        </is>
      </c>
      <c r="B24" s="18" t="n">
        <v>2171</v>
      </c>
      <c r="C24" s="18" t="n">
        <v>2171</v>
      </c>
      <c r="D24" s="18" t="n">
        <v>1202</v>
      </c>
      <c r="E24" s="18" t="n">
        <v>1839</v>
      </c>
      <c r="F24" s="18" t="n">
        <v>1763</v>
      </c>
    </row>
    <row r="25">
      <c r="A25" t="inlineStr">
        <is>
          <t>Выручка, ₽</t>
        </is>
      </c>
      <c r="B25" s="18" t="n">
        <v>44070</v>
      </c>
      <c r="C25" s="18" t="n">
        <v>40680</v>
      </c>
      <c r="D25" s="18" t="n">
        <v>101700</v>
      </c>
      <c r="E25" s="18" t="n">
        <v>61020</v>
      </c>
      <c r="F25" s="18" t="n">
        <v>23730</v>
      </c>
      <c r="G25" s="19">
        <f>SUM(B25:F25)</f>
        <v/>
      </c>
    </row>
    <row r="26">
      <c r="A26" t="inlineStr">
        <is>
          <t>ДРР (доля рекламных расходов в выручке), %</t>
        </is>
      </c>
      <c r="B26" s="20">
        <f>B10/B25</f>
        <v/>
      </c>
      <c r="C26" s="20">
        <f>C10/C25</f>
        <v/>
      </c>
      <c r="D26" s="20">
        <f>D10/D25</f>
        <v/>
      </c>
      <c r="E26" s="20">
        <f>E10/E25</f>
        <v/>
      </c>
      <c r="F26" s="20">
        <f>F10/F25</f>
        <v/>
      </c>
      <c r="G26" s="20">
        <f>G10/G25</f>
        <v/>
      </c>
    </row>
  </sheetData>
  <mergeCells count="1"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2026-09-17T16:43:57Z</dcterms:created>
  <dcterms:modified xsi:type="dcterms:W3CDTF">2026-09-17T16:43:57Z</dcterms:modified>
</cp:coreProperties>
</file>